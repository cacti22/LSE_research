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09"/>
  <workbookPr filterPrivacy="1" defaultThemeVersion="124226"/>
  <xr:revisionPtr revIDLastSave="0" documentId="13_ncr:1_{4BC4BECA-730E-1A4E-BAC5-134657EDE2DA}" xr6:coauthVersionLast="47" xr6:coauthVersionMax="47" xr10:uidLastSave="{00000000-0000-0000-0000-000000000000}"/>
  <bookViews>
    <workbookView xWindow="180" yWindow="760" windowWidth="34380" windowHeight="21580" activeTab="7" xr2:uid="{00000000-000D-0000-FFFF-FFFF00000000}"/>
  </bookViews>
  <sheets>
    <sheet name="2015-6" sheetId="3" r:id="rId1"/>
    <sheet name="2016-7" sheetId="1" r:id="rId2"/>
    <sheet name="2017-8" sheetId="5" r:id="rId3"/>
    <sheet name="2018-9" sheetId="16" r:id="rId4"/>
    <sheet name="2018-9 (Original)" sheetId="6" r:id="rId5"/>
    <sheet name="2019-20" sheetId="12" r:id="rId6"/>
    <sheet name="2020-1" sheetId="9" r:id="rId7"/>
    <sheet name="2020-1(Original)" sheetId="8" r:id="rId8"/>
    <sheet name="2021-2" sheetId="13" r:id="rId9"/>
    <sheet name="2021-2 (Original)" sheetId="17" r:id="rId10"/>
    <sheet name="2022-3" sheetId="14" r:id="rId11"/>
    <sheet name="2022-3 (Original)" sheetId="18" r:id="rId12"/>
  </sheets>
  <definedNames>
    <definedName name="_xlnm._FilterDatabase" localSheetId="7" hidden="1">'2020-1(Original)'!$A$1:$D$63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7" i="12" l="1"/>
  <c r="D57" i="12"/>
  <c r="C57" i="12"/>
  <c r="E34" i="12"/>
  <c r="D34" i="12"/>
  <c r="C34" i="12"/>
  <c r="E29" i="12"/>
  <c r="D29" i="12"/>
  <c r="C29" i="12"/>
  <c r="E23" i="12"/>
  <c r="D23" i="12"/>
  <c r="C23" i="12"/>
  <c r="E18" i="12"/>
  <c r="D18" i="12"/>
  <c r="C18" i="12"/>
  <c r="E9" i="12"/>
  <c r="E60" i="12" s="1"/>
  <c r="D9" i="12"/>
  <c r="C9" i="12"/>
  <c r="E51" i="12"/>
  <c r="D51" i="12"/>
  <c r="C51" i="12"/>
  <c r="E45" i="12"/>
  <c r="D45" i="12"/>
  <c r="C45" i="12"/>
  <c r="E41" i="12"/>
  <c r="D41" i="12"/>
  <c r="C41" i="12"/>
  <c r="E5" i="12"/>
  <c r="D5" i="12"/>
  <c r="C5" i="12"/>
  <c r="E63" i="14"/>
  <c r="D63" i="14"/>
  <c r="C63" i="14"/>
  <c r="E24" i="14"/>
  <c r="D24" i="14"/>
  <c r="C24" i="14"/>
  <c r="E14" i="14"/>
  <c r="D14" i="14"/>
  <c r="C14" i="14"/>
  <c r="E36" i="14"/>
  <c r="D36" i="14"/>
  <c r="C36" i="14"/>
  <c r="E31" i="14"/>
  <c r="D31" i="14"/>
  <c r="C31" i="14"/>
  <c r="E53" i="14"/>
  <c r="D53" i="14"/>
  <c r="C53" i="14"/>
  <c r="E47" i="14"/>
  <c r="D47" i="14"/>
  <c r="C47" i="14"/>
  <c r="E19" i="14"/>
  <c r="D19" i="14"/>
  <c r="C19" i="14"/>
  <c r="E9" i="14"/>
  <c r="D9" i="14"/>
  <c r="C9" i="14"/>
  <c r="E59" i="14"/>
  <c r="D59" i="14"/>
  <c r="C59" i="14"/>
  <c r="E43" i="14"/>
  <c r="D43" i="14"/>
  <c r="C43" i="14"/>
  <c r="E5" i="14"/>
  <c r="D5" i="14"/>
  <c r="C5" i="14"/>
  <c r="E57" i="14"/>
  <c r="D57" i="14"/>
  <c r="C57" i="14"/>
  <c r="E51" i="14"/>
  <c r="D51" i="14"/>
  <c r="C51" i="14"/>
  <c r="E41" i="14"/>
  <c r="D41" i="14"/>
  <c r="C41" i="14"/>
  <c r="E39" i="14"/>
  <c r="D39" i="14"/>
  <c r="C39" i="14"/>
  <c r="E34" i="14"/>
  <c r="D34" i="14"/>
  <c r="C34" i="14"/>
  <c r="E17" i="14"/>
  <c r="D17" i="14"/>
  <c r="C17" i="14"/>
  <c r="E3" i="14"/>
  <c r="D3" i="14"/>
  <c r="C3" i="14"/>
  <c r="E62" i="16"/>
  <c r="D62" i="16"/>
  <c r="C62" i="16"/>
  <c r="D60" i="12"/>
  <c r="C60" i="12"/>
  <c r="E63" i="9"/>
  <c r="D63" i="9"/>
  <c r="C63" i="9"/>
  <c r="E64" i="13"/>
  <c r="D64" i="13"/>
  <c r="C64" i="13"/>
  <c r="E53" i="13"/>
  <c r="D53" i="13"/>
  <c r="C53" i="13"/>
  <c r="E47" i="13"/>
  <c r="D47" i="13"/>
  <c r="C47" i="13"/>
  <c r="E60" i="13"/>
  <c r="D60" i="13"/>
  <c r="C60" i="13"/>
  <c r="E43" i="13"/>
  <c r="D43" i="13"/>
  <c r="C43" i="13"/>
  <c r="E58" i="13"/>
  <c r="D58" i="13"/>
  <c r="C58" i="13"/>
  <c r="E51" i="13"/>
  <c r="D51" i="13"/>
  <c r="C51" i="13"/>
  <c r="E41" i="13"/>
  <c r="D41" i="13"/>
  <c r="C41" i="13"/>
  <c r="E39" i="13"/>
  <c r="D39" i="13"/>
  <c r="C39" i="13"/>
  <c r="E34" i="13"/>
  <c r="D34" i="13"/>
  <c r="C34" i="13"/>
  <c r="E36" i="13"/>
  <c r="D36" i="13"/>
  <c r="C36" i="13"/>
  <c r="E31" i="13"/>
  <c r="D31" i="13"/>
  <c r="C31" i="13"/>
  <c r="C25" i="13"/>
  <c r="D25" i="13"/>
  <c r="E25" i="13"/>
  <c r="E20" i="13"/>
  <c r="D20" i="13"/>
  <c r="C20" i="13"/>
  <c r="E14" i="13"/>
  <c r="D14" i="13"/>
  <c r="C14" i="13"/>
  <c r="E9" i="13"/>
  <c r="D9" i="13"/>
  <c r="C9" i="13"/>
  <c r="C5" i="13" s="1"/>
  <c r="E5" i="13"/>
  <c r="D5" i="13"/>
</calcChain>
</file>

<file path=xl/sharedStrings.xml><?xml version="1.0" encoding="utf-8"?>
<sst xmlns="http://schemas.openxmlformats.org/spreadsheetml/2006/main" count="789" uniqueCount="103">
  <si>
    <t>Applications</t>
  </si>
  <si>
    <t>Offers</t>
  </si>
  <si>
    <t>Acceptances</t>
  </si>
  <si>
    <t>Accounting</t>
  </si>
  <si>
    <t>BSc in Accounting and Finance</t>
  </si>
  <si>
    <t>Anthropology</t>
  </si>
  <si>
    <t>BA in Anthropology and Law</t>
  </si>
  <si>
    <t>BA in Social Anthropology</t>
  </si>
  <si>
    <t>BSc in Social Anthropology</t>
  </si>
  <si>
    <t>Economic History</t>
  </si>
  <si>
    <t>BSc in Economic History</t>
  </si>
  <si>
    <t>BSc in Economic History with Economics</t>
  </si>
  <si>
    <t>BSc in Economics and Economic History</t>
  </si>
  <si>
    <t>Economics</t>
  </si>
  <si>
    <t>BSc in Econometrics and Mathematical Economics</t>
  </si>
  <si>
    <t>BSc in Economics</t>
  </si>
  <si>
    <t>BSc in Economics with Economic History</t>
  </si>
  <si>
    <t>Geography &amp; Environment</t>
  </si>
  <si>
    <t>BA in Geography</t>
  </si>
  <si>
    <t>BSc in Environment and Development</t>
  </si>
  <si>
    <t>BSc in Environmental Policy with Economics</t>
  </si>
  <si>
    <t>BSc in Geography with Economics</t>
  </si>
  <si>
    <t>Government</t>
  </si>
  <si>
    <t>BSc in Government</t>
  </si>
  <si>
    <t>BSc in Government and Economics</t>
  </si>
  <si>
    <t>BSc in Government and History</t>
  </si>
  <si>
    <t>BSc in Politics and Philosophy</t>
  </si>
  <si>
    <t>International History</t>
  </si>
  <si>
    <t>BA in History</t>
  </si>
  <si>
    <t>BSc in International Relations and History</t>
  </si>
  <si>
    <t>International Relations</t>
  </si>
  <si>
    <t>BSc in International Relations</t>
  </si>
  <si>
    <t>Law</t>
  </si>
  <si>
    <t>LLB in Laws</t>
  </si>
  <si>
    <t>Management</t>
  </si>
  <si>
    <t>BSc in Management</t>
  </si>
  <si>
    <t>Mathematics</t>
  </si>
  <si>
    <t>BSc in Mathematics and Economics</t>
  </si>
  <si>
    <t>BSc in Mathematics with Economics</t>
  </si>
  <si>
    <t>BSc in Philosophy and Economics</t>
  </si>
  <si>
    <t>BSc in Philosophy, Logic and Scientific Method</t>
  </si>
  <si>
    <t>Social Policy</t>
  </si>
  <si>
    <t>BSc in Social Policy</t>
  </si>
  <si>
    <t>BSc in Social Policy and Criminology</t>
  </si>
  <si>
    <t>BSc in Social Policy and Economics</t>
  </si>
  <si>
    <t>BSc in Social Policy and Sociology</t>
  </si>
  <si>
    <t>BSc in Social Policy with Government</t>
  </si>
  <si>
    <t>Sociology</t>
  </si>
  <si>
    <t>BSc in Sociology</t>
  </si>
  <si>
    <t>Statistics</t>
  </si>
  <si>
    <t>BSc in Actuarial Science</t>
  </si>
  <si>
    <t>BSc in Business Mathematics and Statistics</t>
  </si>
  <si>
    <t>BSc in Statistics with Finance</t>
  </si>
  <si>
    <t>Grand Total</t>
  </si>
  <si>
    <t>Finance</t>
  </si>
  <si>
    <t>BSc in Finance</t>
  </si>
  <si>
    <t>BSc in Politics and International Relations</t>
  </si>
  <si>
    <t>BSc in Philosophy, Politics and Economics</t>
  </si>
  <si>
    <t>Registrations</t>
  </si>
  <si>
    <t>BSc in Politics</t>
  </si>
  <si>
    <t>BSc in Politics and Economics</t>
  </si>
  <si>
    <t>BSc in Politics and History</t>
  </si>
  <si>
    <t>BSc in Financial Mathematics and Statistics</t>
  </si>
  <si>
    <t>Philosophy, Logic and Scientific Method</t>
  </si>
  <si>
    <t>BSc in Intl. Social &amp; Public Policy with Politics</t>
  </si>
  <si>
    <t>BSc in Mathematics, Statistics, and Business</t>
  </si>
  <si>
    <t>&lt;10</t>
  </si>
  <si>
    <t>Psychological and Behavioural Science</t>
  </si>
  <si>
    <t>Philosophy, Logic &amp; Scientific Method</t>
  </si>
  <si>
    <t>Law School</t>
  </si>
  <si>
    <t>Taught Postgraduate [Other]</t>
  </si>
  <si>
    <t>BSc in Mathematics, Statistics and Business</t>
  </si>
  <si>
    <t>BSc in Data Science</t>
  </si>
  <si>
    <t>BSc in Intl. Social and Public Policy &amp; Economics</t>
  </si>
  <si>
    <t>BSc in International Social and Public Policy</t>
  </si>
  <si>
    <t>BSc in Psychological and Behavioural Science</t>
  </si>
  <si>
    <t>BSc in Language, Culture &amp; Society</t>
  </si>
  <si>
    <t>BSc in International Relations and Chinese</t>
  </si>
  <si>
    <t>Language Centre</t>
  </si>
  <si>
    <t>BSc in Economic History and Geography</t>
  </si>
  <si>
    <t>Undergraduate</t>
  </si>
  <si>
    <t>Level/Department/Programme</t>
  </si>
  <si>
    <t>BSc in Criminology</t>
  </si>
  <si>
    <t>BSc in Intl. Social &amp; Public Policy</t>
  </si>
  <si>
    <t>F2</t>
  </si>
  <si>
    <t>F6</t>
  </si>
  <si>
    <t>F7</t>
  </si>
  <si>
    <t>F8</t>
  </si>
  <si>
    <t>F9</t>
  </si>
  <si>
    <t>2022/23</t>
  </si>
  <si>
    <t>2021/22</t>
  </si>
  <si>
    <t>Entra..</t>
  </si>
  <si>
    <t>Programme Name</t>
  </si>
  <si>
    <t>Apps</t>
  </si>
  <si>
    <t>*</t>
  </si>
  <si>
    <t>BSc in History and Politics</t>
  </si>
  <si>
    <t>BSc in International Social and Public Policy and</t>
  </si>
  <si>
    <t>BSc in International Social and Public Policy with</t>
  </si>
  <si>
    <t>BSc in International Social and Public Policy with Politi..</t>
  </si>
  <si>
    <t>BSc in Politics and Data Science</t>
  </si>
  <si>
    <t>12</t>
  </si>
  <si>
    <t>40</t>
  </si>
  <si>
    <t>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</si>
</sst>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Calibri"/>
      <family val="2"/>
    </font>
    <font>
      <b/>
      <sz val="10"/>
      <color rgb="FF00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theme="8" tint="0.79998168889431442"/>
        <bgColor theme="4" tint="0.79998168889431442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BEEF3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/>
      <bottom style="thin">
        <color indexed="13"/>
      </bottom>
      <diagonal/>
    </border>
    <border>
      <left/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/>
      <top/>
      <bottom/>
      <diagonal/>
    </border>
    <border>
      <left style="thin">
        <color indexed="13"/>
      </left>
      <right style="thin">
        <color indexed="13"/>
      </right>
      <top style="thin">
        <color indexed="13"/>
      </top>
      <bottom/>
      <diagonal/>
    </border>
    <border>
      <left style="thin">
        <color indexed="13"/>
      </left>
      <right style="thin">
        <color indexed="13"/>
      </right>
      <top/>
      <bottom/>
      <diagonal/>
    </border>
    <border>
      <left/>
      <right/>
      <top style="thin">
        <color indexed="13"/>
      </top>
      <bottom/>
      <diagonal/>
    </border>
    <border>
      <left style="thin">
        <color indexed="13"/>
      </left>
      <right/>
      <top style="thin">
        <color indexed="13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13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5" applyNumberFormat="0" applyAlignment="0" applyProtection="0"/>
    <xf numFmtId="0" fontId="14" fillId="8" borderId="6" applyNumberFormat="0" applyAlignment="0" applyProtection="0"/>
    <xf numFmtId="0" fontId="15" fillId="8" borderId="5" applyNumberFormat="0" applyAlignment="0" applyProtection="0"/>
    <xf numFmtId="0" fontId="16" fillId="0" borderId="7" applyNumberFormat="0" applyFill="0" applyAlignment="0" applyProtection="0"/>
    <xf numFmtId="0" fontId="17" fillId="9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20" fillId="14" borderId="0" applyNumberFormat="0" applyBorder="0" applyAlignment="0" applyProtection="0"/>
    <xf numFmtId="0" fontId="20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20" fillId="18" borderId="0" applyNumberFormat="0" applyBorder="0" applyAlignment="0" applyProtection="0"/>
    <xf numFmtId="0" fontId="20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20" fillId="22" borderId="0" applyNumberFormat="0" applyBorder="0" applyAlignment="0" applyProtection="0"/>
    <xf numFmtId="0" fontId="20" fillId="23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20" fillId="26" borderId="0" applyNumberFormat="0" applyBorder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20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20" fillId="34" borderId="0" applyNumberFormat="0" applyBorder="0" applyAlignment="0" applyProtection="0"/>
    <xf numFmtId="0" fontId="21" fillId="0" borderId="0"/>
    <xf numFmtId="0" fontId="22" fillId="0" borderId="0"/>
    <xf numFmtId="0" fontId="5" fillId="0" borderId="0"/>
    <xf numFmtId="0" fontId="5" fillId="10" borderId="9" applyNumberFormat="0" applyFont="0" applyAlignment="0" applyProtection="0"/>
    <xf numFmtId="0" fontId="5" fillId="0" borderId="0"/>
    <xf numFmtId="0" fontId="5" fillId="10" borderId="9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0" borderId="0"/>
    <xf numFmtId="0" fontId="5" fillId="10" borderId="9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0" borderId="0"/>
    <xf numFmtId="0" fontId="5" fillId="10" borderId="9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0" borderId="0"/>
    <xf numFmtId="0" fontId="5" fillId="10" borderId="9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21" fillId="0" borderId="0"/>
    <xf numFmtId="0" fontId="23" fillId="0" borderId="0" applyNumberFormat="0" applyFill="0" applyBorder="0" applyProtection="0"/>
    <xf numFmtId="0" fontId="2" fillId="0" borderId="0"/>
    <xf numFmtId="0" fontId="2" fillId="16" borderId="0" applyNumberFormat="0" applyBorder="0" applyAlignment="0" applyProtection="0"/>
    <xf numFmtId="0" fontId="2" fillId="32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32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</cellStyleXfs>
  <cellXfs count="68">
    <xf numFmtId="0" fontId="0" fillId="0" borderId="0" xfId="0"/>
    <xf numFmtId="0" fontId="4" fillId="0" borderId="1" xfId="0" applyFont="1" applyBorder="1" applyAlignment="1">
      <alignment horizontal="left"/>
    </xf>
    <xf numFmtId="0" fontId="0" fillId="0" borderId="1" xfId="0" applyBorder="1" applyAlignment="1">
      <alignment horizontal="left" inden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21" fillId="3" borderId="1" xfId="101" applyFill="1" applyBorder="1" applyAlignment="1">
      <alignment horizontal="center"/>
    </xf>
    <xf numFmtId="0" fontId="4" fillId="0" borderId="1" xfId="101" applyFont="1" applyBorder="1" applyAlignment="1">
      <alignment horizontal="center"/>
    </xf>
    <xf numFmtId="0" fontId="21" fillId="0" borderId="1" xfId="101" applyBorder="1" applyAlignment="1">
      <alignment horizontal="center"/>
    </xf>
    <xf numFmtId="0" fontId="4" fillId="2" borderId="1" xfId="101" applyFont="1" applyFill="1" applyBorder="1" applyAlignment="1">
      <alignment horizontal="center"/>
    </xf>
    <xf numFmtId="0" fontId="23" fillId="0" borderId="0" xfId="102" applyNumberFormat="1"/>
    <xf numFmtId="0" fontId="23" fillId="0" borderId="11" xfId="102" applyBorder="1"/>
    <xf numFmtId="0" fontId="23" fillId="0" borderId="13" xfId="102" applyBorder="1"/>
    <xf numFmtId="49" fontId="24" fillId="0" borderId="18" xfId="102" applyNumberFormat="1" applyFont="1" applyFill="1" applyBorder="1" applyAlignment="1">
      <alignment horizontal="left"/>
    </xf>
    <xf numFmtId="49" fontId="24" fillId="0" borderId="17" xfId="102" applyNumberFormat="1" applyFont="1" applyFill="1" applyBorder="1" applyAlignment="1">
      <alignment horizontal="left"/>
    </xf>
    <xf numFmtId="49" fontId="23" fillId="0" borderId="14" xfId="102" applyNumberFormat="1" applyFill="1" applyBorder="1" applyAlignment="1">
      <alignment horizontal="left"/>
    </xf>
    <xf numFmtId="0" fontId="23" fillId="0" borderId="13" xfId="102" applyNumberFormat="1" applyFill="1" applyBorder="1"/>
    <xf numFmtId="0" fontId="23" fillId="0" borderId="11" xfId="102" applyNumberFormat="1" applyFill="1" applyBorder="1"/>
    <xf numFmtId="49" fontId="23" fillId="0" borderId="11" xfId="102" applyNumberFormat="1" applyFill="1" applyBorder="1"/>
    <xf numFmtId="49" fontId="23" fillId="0" borderId="12" xfId="102" applyNumberFormat="1" applyFill="1" applyBorder="1" applyAlignment="1">
      <alignment horizontal="left"/>
    </xf>
    <xf numFmtId="49" fontId="23" fillId="0" borderId="15" xfId="102" applyNumberFormat="1" applyFill="1" applyBorder="1" applyAlignment="1">
      <alignment horizontal="left"/>
    </xf>
    <xf numFmtId="49" fontId="23" fillId="0" borderId="13" xfId="102" applyNumberFormat="1" applyFill="1" applyBorder="1"/>
    <xf numFmtId="49" fontId="23" fillId="0" borderId="11" xfId="102" applyNumberFormat="1" applyFill="1" applyBorder="1" applyAlignment="1">
      <alignment horizontal="left"/>
    </xf>
    <xf numFmtId="49" fontId="23" fillId="0" borderId="16" xfId="102" applyNumberFormat="1" applyFill="1" applyBorder="1" applyAlignment="1">
      <alignment horizontal="left"/>
    </xf>
    <xf numFmtId="0" fontId="1" fillId="0" borderId="0" xfId="108"/>
    <xf numFmtId="0" fontId="1" fillId="0" borderId="0" xfId="108" applyAlignment="1">
      <alignment horizontal="left"/>
    </xf>
    <xf numFmtId="0" fontId="26" fillId="32" borderId="0" xfId="110" applyFont="1" applyAlignment="1">
      <alignment horizontal="left"/>
    </xf>
    <xf numFmtId="0" fontId="26" fillId="32" borderId="0" xfId="110" applyFont="1"/>
    <xf numFmtId="0" fontId="27" fillId="24" borderId="0" xfId="111" applyFont="1" applyAlignment="1">
      <alignment horizontal="left"/>
    </xf>
    <xf numFmtId="0" fontId="27" fillId="24" borderId="0" xfId="111" applyFont="1"/>
    <xf numFmtId="0" fontId="25" fillId="28" borderId="0" xfId="112" applyFont="1" applyAlignment="1">
      <alignment horizontal="left"/>
    </xf>
    <xf numFmtId="0" fontId="21" fillId="0" borderId="19" xfId="101" applyBorder="1" applyAlignment="1">
      <alignment horizontal="center"/>
    </xf>
    <xf numFmtId="0" fontId="4" fillId="0" borderId="20" xfId="101" applyFont="1" applyBorder="1" applyAlignment="1">
      <alignment horizontal="center"/>
    </xf>
    <xf numFmtId="0" fontId="21" fillId="0" borderId="20" xfId="101" applyBorder="1" applyAlignment="1">
      <alignment horizontal="center"/>
    </xf>
    <xf numFmtId="0" fontId="4" fillId="0" borderId="20" xfId="101" applyFont="1" applyBorder="1" applyAlignment="1">
      <alignment horizontal="center" vertical="center"/>
    </xf>
    <xf numFmtId="0" fontId="4" fillId="0" borderId="1" xfId="11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1" fillId="0" borderId="1" xfId="108" applyFont="1" applyBorder="1" applyAlignment="1">
      <alignment horizontal="center" vertical="center"/>
    </xf>
    <xf numFmtId="0" fontId="4" fillId="0" borderId="1" xfId="108" applyFont="1" applyBorder="1" applyAlignment="1">
      <alignment horizontal="center"/>
    </xf>
    <xf numFmtId="0" fontId="21" fillId="0" borderId="1" xfId="108" applyFont="1" applyBorder="1" applyAlignment="1">
      <alignment horizontal="center"/>
    </xf>
    <xf numFmtId="0" fontId="4" fillId="0" borderId="1" xfId="101" applyFont="1" applyBorder="1" applyAlignment="1">
      <alignment horizontal="center" vertical="center"/>
    </xf>
    <xf numFmtId="0" fontId="21" fillId="35" borderId="1" xfId="0" applyFont="1" applyFill="1" applyBorder="1" applyAlignment="1">
      <alignment horizontal="center" vertical="center"/>
    </xf>
    <xf numFmtId="0" fontId="21" fillId="0" borderId="21" xfId="108" applyFont="1" applyBorder="1" applyAlignment="1">
      <alignment horizontal="center" vertical="center"/>
    </xf>
    <xf numFmtId="0" fontId="21" fillId="0" borderId="1" xfId="101" applyBorder="1" applyAlignment="1">
      <alignment horizontal="center" vertical="center"/>
    </xf>
    <xf numFmtId="0" fontId="29" fillId="0" borderId="1" xfId="102" applyNumberFormat="1" applyFont="1" applyFill="1" applyBorder="1" applyAlignment="1">
      <alignment horizontal="center" vertical="center"/>
    </xf>
    <xf numFmtId="0" fontId="30" fillId="0" borderId="1" xfId="102" applyNumberFormat="1" applyFont="1" applyFill="1" applyBorder="1" applyAlignment="1">
      <alignment horizontal="center" vertical="center"/>
    </xf>
    <xf numFmtId="49" fontId="30" fillId="0" borderId="1" xfId="102" applyNumberFormat="1" applyFont="1" applyFill="1" applyBorder="1" applyAlignment="1">
      <alignment horizontal="center" vertical="center"/>
    </xf>
    <xf numFmtId="0" fontId="21" fillId="0" borderId="20" xfId="101" applyBorder="1" applyAlignment="1">
      <alignment horizontal="center" vertical="center"/>
    </xf>
    <xf numFmtId="0" fontId="4" fillId="2" borderId="1" xfId="101" applyFont="1" applyFill="1" applyBorder="1" applyAlignment="1">
      <alignment horizontal="center" vertical="center"/>
    </xf>
    <xf numFmtId="49" fontId="31" fillId="0" borderId="1" xfId="102" applyNumberFormat="1" applyFont="1" applyFill="1" applyBorder="1" applyAlignment="1">
      <alignment horizontal="center" vertical="center"/>
    </xf>
    <xf numFmtId="49" fontId="28" fillId="0" borderId="1" xfId="0" applyNumberFormat="1" applyFont="1" applyBorder="1" applyAlignment="1">
      <alignment horizontal="center" vertical="center"/>
    </xf>
    <xf numFmtId="49" fontId="32" fillId="0" borderId="1" xfId="0" applyNumberFormat="1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3" fontId="1" fillId="0" borderId="0" xfId="108" applyNumberFormat="1"/>
    <xf numFmtId="0" fontId="4" fillId="0" borderId="1" xfId="108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3" fontId="21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3" fontId="21" fillId="35" borderId="1" xfId="0" applyNumberFormat="1" applyFont="1" applyFill="1" applyBorder="1" applyAlignment="1">
      <alignment horizontal="center" vertical="center"/>
    </xf>
    <xf numFmtId="3" fontId="21" fillId="0" borderId="1" xfId="108" applyNumberFormat="1" applyFont="1" applyBorder="1" applyAlignment="1">
      <alignment horizontal="center" vertical="center"/>
    </xf>
    <xf numFmtId="3" fontId="4" fillId="0" borderId="1" xfId="108" applyNumberFormat="1" applyFont="1" applyBorder="1" applyAlignment="1">
      <alignment horizontal="center" vertical="center"/>
    </xf>
    <xf numFmtId="0" fontId="4" fillId="0" borderId="1" xfId="101" applyFont="1" applyBorder="1" applyAlignment="1">
      <alignment horizontal="left" vertical="center"/>
    </xf>
    <xf numFmtId="0" fontId="30" fillId="0" borderId="22" xfId="102" applyNumberFormat="1" applyFont="1" applyFill="1" applyBorder="1" applyAlignment="1">
      <alignment horizontal="center" vertical="center"/>
    </xf>
  </cellXfs>
  <cellStyles count="113">
    <cellStyle name="20% - Accent1" xfId="18" builtinId="30" customBuiltin="1"/>
    <cellStyle name="20% - Accent1 2" xfId="47" xr:uid="{00000000-0005-0000-0000-000001000000}"/>
    <cellStyle name="20% - Accent1 3" xfId="61" xr:uid="{00000000-0005-0000-0000-000002000000}"/>
    <cellStyle name="20% - Accent1 4" xfId="75" xr:uid="{00000000-0005-0000-0000-000003000000}"/>
    <cellStyle name="20% - Accent1 5" xfId="89" xr:uid="{00000000-0005-0000-0000-000004000000}"/>
    <cellStyle name="20% - Accent2" xfId="22" builtinId="34" customBuiltin="1"/>
    <cellStyle name="20% - Accent2 2" xfId="49" xr:uid="{00000000-0005-0000-0000-000006000000}"/>
    <cellStyle name="20% - Accent2 3" xfId="63" xr:uid="{00000000-0005-0000-0000-000007000000}"/>
    <cellStyle name="20% - Accent2 4" xfId="77" xr:uid="{00000000-0005-0000-0000-000008000000}"/>
    <cellStyle name="20% - Accent2 5" xfId="91" xr:uid="{00000000-0005-0000-0000-000009000000}"/>
    <cellStyle name="20% - Accent2 6" xfId="104" xr:uid="{A518CF11-F839-1741-9FCB-C985EB9585E0}"/>
    <cellStyle name="20% - Accent2 7" xfId="109" xr:uid="{8FDECB33-C6CC-4A47-9C29-13AF1EF9267E}"/>
    <cellStyle name="20% - Accent3" xfId="26" builtinId="38" customBuiltin="1"/>
    <cellStyle name="20% - Accent3 2" xfId="51" xr:uid="{00000000-0005-0000-0000-00000B000000}"/>
    <cellStyle name="20% - Accent3 3" xfId="65" xr:uid="{00000000-0005-0000-0000-00000C000000}"/>
    <cellStyle name="20% - Accent3 4" xfId="79" xr:uid="{00000000-0005-0000-0000-00000D000000}"/>
    <cellStyle name="20% - Accent3 5" xfId="93" xr:uid="{00000000-0005-0000-0000-00000E000000}"/>
    <cellStyle name="20% - Accent4" xfId="30" builtinId="42" customBuiltin="1"/>
    <cellStyle name="20% - Accent4 2" xfId="53" xr:uid="{00000000-0005-0000-0000-000010000000}"/>
    <cellStyle name="20% - Accent4 3" xfId="67" xr:uid="{00000000-0005-0000-0000-000011000000}"/>
    <cellStyle name="20% - Accent4 4" xfId="81" xr:uid="{00000000-0005-0000-0000-000012000000}"/>
    <cellStyle name="20% - Accent4 5" xfId="95" xr:uid="{00000000-0005-0000-0000-000013000000}"/>
    <cellStyle name="20% - Accent4 6" xfId="106" xr:uid="{AD1CB2A2-A948-4241-BB17-133BD31A1BF4}"/>
    <cellStyle name="20% - Accent4 7" xfId="111" xr:uid="{938D3C16-536F-3A4F-8CA6-473E6888BD66}"/>
    <cellStyle name="20% - Accent5" xfId="34" builtinId="46" customBuiltin="1"/>
    <cellStyle name="20% - Accent5 2" xfId="55" xr:uid="{00000000-0005-0000-0000-000015000000}"/>
    <cellStyle name="20% - Accent5 3" xfId="69" xr:uid="{00000000-0005-0000-0000-000016000000}"/>
    <cellStyle name="20% - Accent5 4" xfId="83" xr:uid="{00000000-0005-0000-0000-000017000000}"/>
    <cellStyle name="20% - Accent5 5" xfId="97" xr:uid="{00000000-0005-0000-0000-000018000000}"/>
    <cellStyle name="20% - Accent5 6" xfId="107" xr:uid="{54F554CF-92C3-A644-A406-59F22E8998D8}"/>
    <cellStyle name="20% - Accent5 7" xfId="112" xr:uid="{222B9C03-E6E2-FB4B-BFE9-9834779CFF9C}"/>
    <cellStyle name="20% - Accent6" xfId="38" builtinId="50" customBuiltin="1"/>
    <cellStyle name="20% - Accent6 2" xfId="57" xr:uid="{00000000-0005-0000-0000-00001A000000}"/>
    <cellStyle name="20% - Accent6 3" xfId="71" xr:uid="{00000000-0005-0000-0000-00001B000000}"/>
    <cellStyle name="20% - Accent6 4" xfId="85" xr:uid="{00000000-0005-0000-0000-00001C000000}"/>
    <cellStyle name="20% - Accent6 5" xfId="99" xr:uid="{00000000-0005-0000-0000-00001D000000}"/>
    <cellStyle name="20% - Accent6 6" xfId="105" xr:uid="{2304D172-1D86-E343-B969-43D7C6320CB5}"/>
    <cellStyle name="20% - Accent6 7" xfId="110" xr:uid="{CDBF3EA9-AD4D-A54C-9FEE-E330CDCD4CC5}"/>
    <cellStyle name="40% - Accent1" xfId="19" builtinId="31" customBuiltin="1"/>
    <cellStyle name="40% - Accent1 2" xfId="48" xr:uid="{00000000-0005-0000-0000-00001F000000}"/>
    <cellStyle name="40% - Accent1 3" xfId="62" xr:uid="{00000000-0005-0000-0000-000020000000}"/>
    <cellStyle name="40% - Accent1 4" xfId="76" xr:uid="{00000000-0005-0000-0000-000021000000}"/>
    <cellStyle name="40% - Accent1 5" xfId="90" xr:uid="{00000000-0005-0000-0000-000022000000}"/>
    <cellStyle name="40% - Accent2" xfId="23" builtinId="35" customBuiltin="1"/>
    <cellStyle name="40% - Accent2 2" xfId="50" xr:uid="{00000000-0005-0000-0000-000024000000}"/>
    <cellStyle name="40% - Accent2 3" xfId="64" xr:uid="{00000000-0005-0000-0000-000025000000}"/>
    <cellStyle name="40% - Accent2 4" xfId="78" xr:uid="{00000000-0005-0000-0000-000026000000}"/>
    <cellStyle name="40% - Accent2 5" xfId="92" xr:uid="{00000000-0005-0000-0000-000027000000}"/>
    <cellStyle name="40% - Accent3" xfId="27" builtinId="39" customBuiltin="1"/>
    <cellStyle name="40% - Accent3 2" xfId="52" xr:uid="{00000000-0005-0000-0000-000029000000}"/>
    <cellStyle name="40% - Accent3 3" xfId="66" xr:uid="{00000000-0005-0000-0000-00002A000000}"/>
    <cellStyle name="40% - Accent3 4" xfId="80" xr:uid="{00000000-0005-0000-0000-00002B000000}"/>
    <cellStyle name="40% - Accent3 5" xfId="94" xr:uid="{00000000-0005-0000-0000-00002C000000}"/>
    <cellStyle name="40% - Accent4" xfId="31" builtinId="43" customBuiltin="1"/>
    <cellStyle name="40% - Accent4 2" xfId="54" xr:uid="{00000000-0005-0000-0000-00002E000000}"/>
    <cellStyle name="40% - Accent4 3" xfId="68" xr:uid="{00000000-0005-0000-0000-00002F000000}"/>
    <cellStyle name="40% - Accent4 4" xfId="82" xr:uid="{00000000-0005-0000-0000-000030000000}"/>
    <cellStyle name="40% - Accent4 5" xfId="96" xr:uid="{00000000-0005-0000-0000-000031000000}"/>
    <cellStyle name="40% - Accent5" xfId="35" builtinId="47" customBuiltin="1"/>
    <cellStyle name="40% - Accent5 2" xfId="56" xr:uid="{00000000-0005-0000-0000-000033000000}"/>
    <cellStyle name="40% - Accent5 3" xfId="70" xr:uid="{00000000-0005-0000-0000-000034000000}"/>
    <cellStyle name="40% - Accent5 4" xfId="84" xr:uid="{00000000-0005-0000-0000-000035000000}"/>
    <cellStyle name="40% - Accent5 5" xfId="98" xr:uid="{00000000-0005-0000-0000-000036000000}"/>
    <cellStyle name="40% - Accent6" xfId="39" builtinId="51" customBuiltin="1"/>
    <cellStyle name="40% - Accent6 2" xfId="58" xr:uid="{00000000-0005-0000-0000-000038000000}"/>
    <cellStyle name="40% - Accent6 3" xfId="72" xr:uid="{00000000-0005-0000-0000-000039000000}"/>
    <cellStyle name="40% - Accent6 4" xfId="86" xr:uid="{00000000-0005-0000-0000-00003A000000}"/>
    <cellStyle name="40% - Accent6 5" xfId="100" xr:uid="{00000000-0005-0000-0000-00003B000000}"/>
    <cellStyle name="60% - Accent1" xfId="20" builtinId="32" customBuiltin="1"/>
    <cellStyle name="60% - Accent2" xfId="24" builtinId="36" customBuiltin="1"/>
    <cellStyle name="60% - Accent3" xfId="28" builtinId="40" customBuiltin="1"/>
    <cellStyle name="60% - Accent4" xfId="32" builtinId="44" customBuiltin="1"/>
    <cellStyle name="60% - Accent5" xfId="36" builtinId="48" customBuiltin="1"/>
    <cellStyle name="60% - Accent6" xfId="40" builtinId="52" customBuiltin="1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10" xfId="101" xr:uid="{B62B75F6-618C-4748-8AF1-A3E98020C9DC}"/>
    <cellStyle name="Normal 11" xfId="103" xr:uid="{FAE4E8CC-CD98-DC45-A57B-5CE0497464BF}"/>
    <cellStyle name="Normal 12" xfId="108" xr:uid="{33E2F9A1-CF89-8245-A447-2E9C72AA7AA0}"/>
    <cellStyle name="Normal 2" xfId="42" xr:uid="{00000000-0005-0000-0000-000055000000}"/>
    <cellStyle name="Normal 3" xfId="43" xr:uid="{00000000-0005-0000-0000-000056000000}"/>
    <cellStyle name="Normal 4" xfId="45" xr:uid="{00000000-0005-0000-0000-000057000000}"/>
    <cellStyle name="Normal 5" xfId="59" xr:uid="{00000000-0005-0000-0000-000058000000}"/>
    <cellStyle name="Normal 6" xfId="73" xr:uid="{00000000-0005-0000-0000-000059000000}"/>
    <cellStyle name="Normal 7" xfId="87" xr:uid="{00000000-0005-0000-0000-00005A000000}"/>
    <cellStyle name="Normal 8" xfId="41" xr:uid="{00000000-0005-0000-0000-00005B000000}"/>
    <cellStyle name="Normal 9" xfId="102" xr:uid="{F4CEBA67-6844-ED46-AFAB-61A11EE40EBA}"/>
    <cellStyle name="Note 2" xfId="44" xr:uid="{00000000-0005-0000-0000-00005C000000}"/>
    <cellStyle name="Note 3" xfId="46" xr:uid="{00000000-0005-0000-0000-00005D000000}"/>
    <cellStyle name="Note 4" xfId="60" xr:uid="{00000000-0005-0000-0000-00005E000000}"/>
    <cellStyle name="Note 5" xfId="74" xr:uid="{00000000-0005-0000-0000-00005F000000}"/>
    <cellStyle name="Note 6" xfId="88" xr:uid="{00000000-0005-0000-0000-000060000000}"/>
    <cellStyle name="Output" xfId="10" builtinId="21" customBuiltin="1"/>
    <cellStyle name="Title" xfId="1" builtinId="15" customBuiltin="1"/>
    <cellStyle name="Total" xfId="16" builtinId="25" customBuiltin="1"/>
    <cellStyle name="Warning Text" xfId="14" builtinId="11" customBuiltin="1"/>
  </cellStyles>
  <dxfs count="0"/>
  <tableStyles count="0" defaultTableStyle="TableStyleMedium2" defaultPivotStyle="PivotStyleMedium9"/>
  <colors>
    <mruColors>
      <color rgb="FFDBEE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F56"/>
  <sheetViews>
    <sheetView zoomScale="140" zoomScaleNormal="140" workbookViewId="0">
      <selection activeCell="B41" sqref="B41"/>
    </sheetView>
  </sheetViews>
  <sheetFormatPr baseColWidth="10" defaultColWidth="8.83203125" defaultRowHeight="15" x14ac:dyDescent="0.2"/>
  <cols>
    <col min="2" max="2" width="47" bestFit="1" customWidth="1"/>
    <col min="3" max="3" width="12" style="4" bestFit="1" customWidth="1"/>
    <col min="4" max="4" width="6.5" style="4" bestFit="1" customWidth="1"/>
    <col min="5" max="5" width="12" style="4" bestFit="1" customWidth="1"/>
    <col min="6" max="6" width="10.1640625" style="4" bestFit="1" customWidth="1"/>
  </cols>
  <sheetData>
    <row r="2" spans="2:6" x14ac:dyDescent="0.2">
      <c r="B2" s="8"/>
      <c r="C2" s="9" t="s">
        <v>0</v>
      </c>
      <c r="D2" s="9" t="s">
        <v>1</v>
      </c>
      <c r="E2" s="9" t="s">
        <v>2</v>
      </c>
      <c r="F2"/>
    </row>
    <row r="3" spans="2:6" x14ac:dyDescent="0.2">
      <c r="B3" s="1" t="s">
        <v>3</v>
      </c>
      <c r="C3" s="5">
        <v>1851</v>
      </c>
      <c r="D3" s="5">
        <v>215</v>
      </c>
      <c r="E3" s="5">
        <v>173</v>
      </c>
      <c r="F3"/>
    </row>
    <row r="4" spans="2:6" x14ac:dyDescent="0.2">
      <c r="B4" s="2" t="s">
        <v>4</v>
      </c>
      <c r="C4" s="3">
        <v>1851</v>
      </c>
      <c r="D4" s="3">
        <v>215</v>
      </c>
      <c r="E4" s="3">
        <v>173</v>
      </c>
      <c r="F4"/>
    </row>
    <row r="5" spans="2:6" x14ac:dyDescent="0.2">
      <c r="B5" s="1" t="s">
        <v>5</v>
      </c>
      <c r="C5" s="5">
        <v>430</v>
      </c>
      <c r="D5" s="5">
        <v>173</v>
      </c>
      <c r="E5" s="5">
        <v>87</v>
      </c>
      <c r="F5"/>
    </row>
    <row r="6" spans="2:6" x14ac:dyDescent="0.2">
      <c r="B6" s="2" t="s">
        <v>6</v>
      </c>
      <c r="C6" s="3">
        <v>137</v>
      </c>
      <c r="D6" s="3">
        <v>30</v>
      </c>
      <c r="E6" s="3">
        <v>27</v>
      </c>
      <c r="F6"/>
    </row>
    <row r="7" spans="2:6" x14ac:dyDescent="0.2">
      <c r="B7" s="2" t="s">
        <v>7</v>
      </c>
      <c r="C7" s="3">
        <v>208</v>
      </c>
      <c r="D7" s="3">
        <v>112</v>
      </c>
      <c r="E7" s="3">
        <v>53</v>
      </c>
      <c r="F7"/>
    </row>
    <row r="8" spans="2:6" x14ac:dyDescent="0.2">
      <c r="B8" s="2" t="s">
        <v>8</v>
      </c>
      <c r="C8" s="3">
        <v>85</v>
      </c>
      <c r="D8" s="3">
        <v>31</v>
      </c>
      <c r="E8" s="3">
        <v>7</v>
      </c>
      <c r="F8"/>
    </row>
    <row r="9" spans="2:6" x14ac:dyDescent="0.2">
      <c r="B9" s="1" t="s">
        <v>9</v>
      </c>
      <c r="C9" s="5">
        <v>565</v>
      </c>
      <c r="D9" s="5">
        <v>118</v>
      </c>
      <c r="E9" s="5">
        <v>93</v>
      </c>
      <c r="F9"/>
    </row>
    <row r="10" spans="2:6" x14ac:dyDescent="0.2">
      <c r="B10" s="2" t="s">
        <v>10</v>
      </c>
      <c r="C10" s="3">
        <v>216</v>
      </c>
      <c r="D10" s="3">
        <v>58</v>
      </c>
      <c r="E10" s="3">
        <v>46</v>
      </c>
      <c r="F10"/>
    </row>
    <row r="11" spans="2:6" x14ac:dyDescent="0.2">
      <c r="B11" s="2" t="s">
        <v>11</v>
      </c>
      <c r="C11" s="3">
        <v>49</v>
      </c>
      <c r="D11" s="3">
        <v>4</v>
      </c>
      <c r="E11" s="3">
        <v>4</v>
      </c>
      <c r="F11"/>
    </row>
    <row r="12" spans="2:6" x14ac:dyDescent="0.2">
      <c r="B12" s="2" t="s">
        <v>12</v>
      </c>
      <c r="C12" s="3">
        <v>300</v>
      </c>
      <c r="D12" s="3">
        <v>56</v>
      </c>
      <c r="E12" s="3">
        <v>43</v>
      </c>
      <c r="F12"/>
    </row>
    <row r="13" spans="2:6" x14ac:dyDescent="0.2">
      <c r="B13" s="1" t="s">
        <v>13</v>
      </c>
      <c r="C13" s="5">
        <v>2849</v>
      </c>
      <c r="D13" s="5">
        <v>469</v>
      </c>
      <c r="E13" s="5">
        <v>326</v>
      </c>
      <c r="F13"/>
    </row>
    <row r="14" spans="2:6" x14ac:dyDescent="0.2">
      <c r="B14" s="2" t="s">
        <v>14</v>
      </c>
      <c r="C14" s="3">
        <v>169</v>
      </c>
      <c r="D14" s="3">
        <v>0</v>
      </c>
      <c r="E14" s="3">
        <v>0</v>
      </c>
      <c r="F14"/>
    </row>
    <row r="15" spans="2:6" x14ac:dyDescent="0.2">
      <c r="B15" s="2" t="s">
        <v>15</v>
      </c>
      <c r="C15" s="3">
        <v>2618</v>
      </c>
      <c r="D15" s="3">
        <v>467</v>
      </c>
      <c r="E15" s="3">
        <v>324</v>
      </c>
      <c r="F15"/>
    </row>
    <row r="16" spans="2:6" x14ac:dyDescent="0.2">
      <c r="B16" s="2" t="s">
        <v>16</v>
      </c>
      <c r="C16" s="3">
        <v>62</v>
      </c>
      <c r="D16" s="3">
        <v>2</v>
      </c>
      <c r="E16" s="3">
        <v>2</v>
      </c>
      <c r="F16"/>
    </row>
    <row r="17" spans="2:6" x14ac:dyDescent="0.2">
      <c r="B17" s="1" t="s">
        <v>17</v>
      </c>
      <c r="C17" s="5">
        <v>621</v>
      </c>
      <c r="D17" s="5">
        <v>219</v>
      </c>
      <c r="E17" s="5">
        <v>112</v>
      </c>
      <c r="F17"/>
    </row>
    <row r="18" spans="2:6" x14ac:dyDescent="0.2">
      <c r="B18" s="2" t="s">
        <v>18</v>
      </c>
      <c r="C18" s="3">
        <v>300</v>
      </c>
      <c r="D18" s="3">
        <v>104</v>
      </c>
      <c r="E18" s="3">
        <v>38</v>
      </c>
      <c r="F18"/>
    </row>
    <row r="19" spans="2:6" x14ac:dyDescent="0.2">
      <c r="B19" s="2" t="s">
        <v>19</v>
      </c>
      <c r="C19" s="3">
        <v>130</v>
      </c>
      <c r="D19" s="3">
        <v>33</v>
      </c>
      <c r="E19" s="3">
        <v>22</v>
      </c>
      <c r="F19"/>
    </row>
    <row r="20" spans="2:6" x14ac:dyDescent="0.2">
      <c r="B20" s="2" t="s">
        <v>20</v>
      </c>
      <c r="C20" s="3">
        <v>65</v>
      </c>
      <c r="D20" s="3">
        <v>20</v>
      </c>
      <c r="E20" s="3">
        <v>11</v>
      </c>
      <c r="F20"/>
    </row>
    <row r="21" spans="2:6" x14ac:dyDescent="0.2">
      <c r="B21" s="2" t="s">
        <v>21</v>
      </c>
      <c r="C21" s="3">
        <v>126</v>
      </c>
      <c r="D21" s="3">
        <v>62</v>
      </c>
      <c r="E21" s="3">
        <v>41</v>
      </c>
      <c r="F21"/>
    </row>
    <row r="22" spans="2:6" x14ac:dyDescent="0.2">
      <c r="B22" s="1" t="s">
        <v>22</v>
      </c>
      <c r="C22" s="5">
        <v>1669</v>
      </c>
      <c r="D22" s="5">
        <v>354</v>
      </c>
      <c r="E22" s="5">
        <v>246</v>
      </c>
      <c r="F22"/>
    </row>
    <row r="23" spans="2:6" x14ac:dyDescent="0.2">
      <c r="B23" s="2" t="s">
        <v>23</v>
      </c>
      <c r="C23" s="3">
        <v>106</v>
      </c>
      <c r="D23" s="3">
        <v>35</v>
      </c>
      <c r="E23" s="3">
        <v>25</v>
      </c>
      <c r="F23"/>
    </row>
    <row r="24" spans="2:6" x14ac:dyDescent="0.2">
      <c r="B24" s="2" t="s">
        <v>24</v>
      </c>
      <c r="C24" s="3">
        <v>396</v>
      </c>
      <c r="D24" s="3">
        <v>132</v>
      </c>
      <c r="E24" s="3">
        <v>107</v>
      </c>
      <c r="F24"/>
    </row>
    <row r="25" spans="2:6" x14ac:dyDescent="0.2">
      <c r="B25" s="2" t="s">
        <v>25</v>
      </c>
      <c r="C25" s="3">
        <v>144</v>
      </c>
      <c r="D25" s="3">
        <v>41</v>
      </c>
      <c r="E25" s="3">
        <v>24</v>
      </c>
      <c r="F25"/>
    </row>
    <row r="26" spans="2:6" x14ac:dyDescent="0.2">
      <c r="B26" s="2" t="s">
        <v>56</v>
      </c>
      <c r="C26" s="3">
        <v>789</v>
      </c>
      <c r="D26" s="3">
        <v>76</v>
      </c>
      <c r="E26" s="3">
        <v>46</v>
      </c>
      <c r="F26"/>
    </row>
    <row r="27" spans="2:6" x14ac:dyDescent="0.2">
      <c r="B27" s="2" t="s">
        <v>26</v>
      </c>
      <c r="C27" s="3">
        <v>234</v>
      </c>
      <c r="D27" s="3">
        <v>70</v>
      </c>
      <c r="E27" s="3">
        <v>44</v>
      </c>
      <c r="F27"/>
    </row>
    <row r="28" spans="2:6" x14ac:dyDescent="0.2">
      <c r="B28" s="1" t="s">
        <v>27</v>
      </c>
      <c r="C28" s="5">
        <v>821</v>
      </c>
      <c r="D28" s="5">
        <v>270</v>
      </c>
      <c r="E28" s="5">
        <v>116</v>
      </c>
      <c r="F28"/>
    </row>
    <row r="29" spans="2:6" x14ac:dyDescent="0.2">
      <c r="B29" s="2" t="s">
        <v>28</v>
      </c>
      <c r="C29" s="3">
        <v>498</v>
      </c>
      <c r="D29" s="3">
        <v>194</v>
      </c>
      <c r="E29" s="3">
        <v>78</v>
      </c>
      <c r="F29"/>
    </row>
    <row r="30" spans="2:6" x14ac:dyDescent="0.2">
      <c r="B30" s="2" t="s">
        <v>29</v>
      </c>
      <c r="C30" s="3">
        <v>323</v>
      </c>
      <c r="D30" s="3">
        <v>76</v>
      </c>
      <c r="E30" s="3">
        <v>38</v>
      </c>
      <c r="F30"/>
    </row>
    <row r="31" spans="2:6" x14ac:dyDescent="0.2">
      <c r="B31" s="1" t="s">
        <v>30</v>
      </c>
      <c r="C31" s="5">
        <v>934</v>
      </c>
      <c r="D31" s="5">
        <v>140</v>
      </c>
      <c r="E31" s="5">
        <v>97</v>
      </c>
      <c r="F31"/>
    </row>
    <row r="32" spans="2:6" x14ac:dyDescent="0.2">
      <c r="B32" s="2" t="s">
        <v>31</v>
      </c>
      <c r="C32" s="3">
        <v>934</v>
      </c>
      <c r="D32" s="3">
        <v>140</v>
      </c>
      <c r="E32" s="3">
        <v>97</v>
      </c>
      <c r="F32"/>
    </row>
    <row r="33" spans="2:6" x14ac:dyDescent="0.2">
      <c r="B33" s="1" t="s">
        <v>32</v>
      </c>
      <c r="C33" s="5">
        <v>2644</v>
      </c>
      <c r="D33" s="5">
        <v>467</v>
      </c>
      <c r="E33" s="5">
        <v>252</v>
      </c>
      <c r="F33"/>
    </row>
    <row r="34" spans="2:6" x14ac:dyDescent="0.2">
      <c r="B34" s="2" t="s">
        <v>33</v>
      </c>
      <c r="C34" s="3">
        <v>2644</v>
      </c>
      <c r="D34" s="3">
        <v>467</v>
      </c>
      <c r="E34" s="3">
        <v>252</v>
      </c>
      <c r="F34"/>
    </row>
    <row r="35" spans="2:6" x14ac:dyDescent="0.2">
      <c r="B35" s="1" t="s">
        <v>34</v>
      </c>
      <c r="C35" s="5">
        <v>1702</v>
      </c>
      <c r="D35" s="5">
        <v>302</v>
      </c>
      <c r="E35" s="5">
        <v>250</v>
      </c>
      <c r="F35"/>
    </row>
    <row r="36" spans="2:6" x14ac:dyDescent="0.2">
      <c r="B36" s="2" t="s">
        <v>35</v>
      </c>
      <c r="C36" s="3">
        <v>1702</v>
      </c>
      <c r="D36" s="3">
        <v>302</v>
      </c>
      <c r="E36" s="3">
        <v>250</v>
      </c>
      <c r="F36"/>
    </row>
    <row r="37" spans="2:6" x14ac:dyDescent="0.2">
      <c r="B37" s="1" t="s">
        <v>36</v>
      </c>
      <c r="C37" s="5">
        <v>854</v>
      </c>
      <c r="D37" s="5">
        <v>213</v>
      </c>
      <c r="E37" s="5">
        <v>138</v>
      </c>
      <c r="F37"/>
    </row>
    <row r="38" spans="2:6" x14ac:dyDescent="0.2">
      <c r="B38" s="2" t="s">
        <v>37</v>
      </c>
      <c r="C38" s="3">
        <v>479</v>
      </c>
      <c r="D38" s="3">
        <v>98</v>
      </c>
      <c r="E38" s="3">
        <v>81</v>
      </c>
      <c r="F38"/>
    </row>
    <row r="39" spans="2:6" x14ac:dyDescent="0.2">
      <c r="B39" s="2" t="s">
        <v>38</v>
      </c>
      <c r="C39" s="3">
        <v>375</v>
      </c>
      <c r="D39" s="3">
        <v>115</v>
      </c>
      <c r="E39" s="3">
        <v>57</v>
      </c>
      <c r="F39"/>
    </row>
    <row r="40" spans="2:6" x14ac:dyDescent="0.2">
      <c r="B40" s="66" t="s">
        <v>63</v>
      </c>
      <c r="C40" s="5">
        <v>1053</v>
      </c>
      <c r="D40" s="5">
        <v>207</v>
      </c>
      <c r="E40" s="5">
        <v>117</v>
      </c>
      <c r="F40"/>
    </row>
    <row r="41" spans="2:6" x14ac:dyDescent="0.2">
      <c r="B41" s="2" t="s">
        <v>39</v>
      </c>
      <c r="C41" s="3">
        <v>182</v>
      </c>
      <c r="D41" s="3">
        <v>62</v>
      </c>
      <c r="E41" s="3">
        <v>46</v>
      </c>
      <c r="F41"/>
    </row>
    <row r="42" spans="2:6" x14ac:dyDescent="0.2">
      <c r="B42" s="2" t="s">
        <v>40</v>
      </c>
      <c r="C42" s="3">
        <v>141</v>
      </c>
      <c r="D42" s="3">
        <v>35</v>
      </c>
      <c r="E42" s="3">
        <v>16</v>
      </c>
      <c r="F42"/>
    </row>
    <row r="43" spans="2:6" x14ac:dyDescent="0.2">
      <c r="B43" s="2" t="s">
        <v>57</v>
      </c>
      <c r="C43" s="3">
        <v>730</v>
      </c>
      <c r="D43" s="3">
        <v>110</v>
      </c>
      <c r="E43" s="3">
        <v>55</v>
      </c>
      <c r="F43"/>
    </row>
    <row r="44" spans="2:6" x14ac:dyDescent="0.2">
      <c r="B44" s="1" t="s">
        <v>41</v>
      </c>
      <c r="C44" s="5">
        <v>417</v>
      </c>
      <c r="D44" s="5">
        <v>110</v>
      </c>
      <c r="E44" s="5">
        <v>62</v>
      </c>
      <c r="F44"/>
    </row>
    <row r="45" spans="2:6" x14ac:dyDescent="0.2">
      <c r="B45" s="2" t="s">
        <v>42</v>
      </c>
      <c r="C45" s="3">
        <v>61</v>
      </c>
      <c r="D45" s="3">
        <v>25</v>
      </c>
      <c r="E45" s="3">
        <v>16</v>
      </c>
      <c r="F45"/>
    </row>
    <row r="46" spans="2:6" x14ac:dyDescent="0.2">
      <c r="B46" s="2" t="s">
        <v>43</v>
      </c>
      <c r="C46" s="3">
        <v>55</v>
      </c>
      <c r="D46" s="3">
        <v>25</v>
      </c>
      <c r="E46" s="3">
        <v>9</v>
      </c>
      <c r="F46"/>
    </row>
    <row r="47" spans="2:6" x14ac:dyDescent="0.2">
      <c r="B47" s="2" t="s">
        <v>44</v>
      </c>
      <c r="C47" s="3">
        <v>136</v>
      </c>
      <c r="D47" s="3">
        <v>5</v>
      </c>
      <c r="E47" s="3">
        <v>3</v>
      </c>
      <c r="F47"/>
    </row>
    <row r="48" spans="2:6" x14ac:dyDescent="0.2">
      <c r="B48" s="2" t="s">
        <v>45</v>
      </c>
      <c r="C48" s="3">
        <v>59</v>
      </c>
      <c r="D48" s="3">
        <v>18</v>
      </c>
      <c r="E48" s="3">
        <v>7</v>
      </c>
      <c r="F48"/>
    </row>
    <row r="49" spans="2:6" x14ac:dyDescent="0.2">
      <c r="B49" s="2" t="s">
        <v>46</v>
      </c>
      <c r="C49" s="3">
        <v>106</v>
      </c>
      <c r="D49" s="3">
        <v>37</v>
      </c>
      <c r="E49" s="3">
        <v>27</v>
      </c>
      <c r="F49"/>
    </row>
    <row r="50" spans="2:6" x14ac:dyDescent="0.2">
      <c r="B50" s="1" t="s">
        <v>47</v>
      </c>
      <c r="C50" s="5">
        <v>267</v>
      </c>
      <c r="D50" s="5">
        <v>116</v>
      </c>
      <c r="E50" s="5">
        <v>66</v>
      </c>
      <c r="F50"/>
    </row>
    <row r="51" spans="2:6" x14ac:dyDescent="0.2">
      <c r="B51" s="2" t="s">
        <v>48</v>
      </c>
      <c r="C51" s="3">
        <v>267</v>
      </c>
      <c r="D51" s="3">
        <v>116</v>
      </c>
      <c r="E51" s="3">
        <v>66</v>
      </c>
      <c r="F51"/>
    </row>
    <row r="52" spans="2:6" x14ac:dyDescent="0.2">
      <c r="B52" s="1" t="s">
        <v>49</v>
      </c>
      <c r="C52" s="5">
        <v>997</v>
      </c>
      <c r="D52" s="5">
        <v>275</v>
      </c>
      <c r="E52" s="5">
        <v>201</v>
      </c>
      <c r="F52"/>
    </row>
    <row r="53" spans="2:6" x14ac:dyDescent="0.2">
      <c r="B53" s="2" t="s">
        <v>50</v>
      </c>
      <c r="C53" s="3">
        <v>577</v>
      </c>
      <c r="D53" s="3">
        <v>176</v>
      </c>
      <c r="E53" s="3">
        <v>132</v>
      </c>
      <c r="F53"/>
    </row>
    <row r="54" spans="2:6" x14ac:dyDescent="0.2">
      <c r="B54" s="2" t="s">
        <v>51</v>
      </c>
      <c r="C54" s="3">
        <v>236</v>
      </c>
      <c r="D54" s="3">
        <v>54</v>
      </c>
      <c r="E54" s="3">
        <v>34</v>
      </c>
      <c r="F54"/>
    </row>
    <row r="55" spans="2:6" x14ac:dyDescent="0.2">
      <c r="B55" s="2" t="s">
        <v>52</v>
      </c>
      <c r="C55" s="3">
        <v>184</v>
      </c>
      <c r="D55" s="3">
        <v>45</v>
      </c>
      <c r="E55" s="3">
        <v>35</v>
      </c>
      <c r="F55"/>
    </row>
    <row r="56" spans="2:6" x14ac:dyDescent="0.2">
      <c r="B56" s="6" t="s">
        <v>53</v>
      </c>
      <c r="C56" s="7">
        <v>17674</v>
      </c>
      <c r="D56" s="7">
        <v>3648</v>
      </c>
      <c r="E56" s="7">
        <v>2336</v>
      </c>
      <c r="F56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57"/>
  <sheetViews>
    <sheetView zoomScale="150" workbookViewId="0">
      <selection activeCell="E18" sqref="E18"/>
    </sheetView>
  </sheetViews>
  <sheetFormatPr baseColWidth="10" defaultColWidth="8.83203125" defaultRowHeight="15" x14ac:dyDescent="0.2"/>
  <cols>
    <col min="2" max="2" width="47" bestFit="1" customWidth="1"/>
    <col min="3" max="3" width="12" style="4" bestFit="1" customWidth="1"/>
    <col min="4" max="4" width="6.5" style="4" bestFit="1" customWidth="1"/>
    <col min="5" max="5" width="12" style="4" bestFit="1" customWidth="1"/>
    <col min="6" max="6" width="10.1640625" style="4" bestFit="1" customWidth="1"/>
  </cols>
  <sheetData>
    <row r="2" spans="2:6" x14ac:dyDescent="0.2">
      <c r="B2" s="8"/>
      <c r="C2" s="9" t="s">
        <v>0</v>
      </c>
      <c r="D2" s="9" t="s">
        <v>1</v>
      </c>
      <c r="E2" s="9" t="s">
        <v>2</v>
      </c>
      <c r="F2"/>
    </row>
    <row r="3" spans="2:6" x14ac:dyDescent="0.2">
      <c r="B3" s="1" t="s">
        <v>3</v>
      </c>
      <c r="C3" s="5">
        <v>1540</v>
      </c>
      <c r="D3" s="5">
        <v>224</v>
      </c>
      <c r="E3" s="5">
        <v>182</v>
      </c>
      <c r="F3"/>
    </row>
    <row r="4" spans="2:6" x14ac:dyDescent="0.2">
      <c r="B4" s="2" t="s">
        <v>4</v>
      </c>
      <c r="C4" s="3">
        <v>1540</v>
      </c>
      <c r="D4" s="3">
        <v>224</v>
      </c>
      <c r="E4" s="3">
        <v>182</v>
      </c>
      <c r="F4"/>
    </row>
    <row r="5" spans="2:6" x14ac:dyDescent="0.2">
      <c r="B5" s="1" t="s">
        <v>5</v>
      </c>
      <c r="C5" s="5">
        <v>461</v>
      </c>
      <c r="D5" s="5">
        <v>185</v>
      </c>
      <c r="E5" s="5">
        <v>85</v>
      </c>
      <c r="F5"/>
    </row>
    <row r="6" spans="2:6" x14ac:dyDescent="0.2">
      <c r="B6" s="2" t="s">
        <v>6</v>
      </c>
      <c r="C6" s="3">
        <v>170</v>
      </c>
      <c r="D6" s="3">
        <v>23</v>
      </c>
      <c r="E6" s="3">
        <v>16</v>
      </c>
      <c r="F6"/>
    </row>
    <row r="7" spans="2:6" x14ac:dyDescent="0.2">
      <c r="B7" s="2" t="s">
        <v>7</v>
      </c>
      <c r="C7" s="3">
        <v>219</v>
      </c>
      <c r="D7" s="3">
        <v>127</v>
      </c>
      <c r="E7" s="3">
        <v>55</v>
      </c>
      <c r="F7"/>
    </row>
    <row r="8" spans="2:6" x14ac:dyDescent="0.2">
      <c r="B8" s="2" t="s">
        <v>8</v>
      </c>
      <c r="C8" s="3">
        <v>72</v>
      </c>
      <c r="D8" s="3">
        <v>35</v>
      </c>
      <c r="E8" s="3">
        <v>14</v>
      </c>
      <c r="F8"/>
    </row>
    <row r="9" spans="2:6" x14ac:dyDescent="0.2">
      <c r="B9" s="1" t="s">
        <v>9</v>
      </c>
      <c r="C9" s="5">
        <v>600</v>
      </c>
      <c r="D9" s="5">
        <v>116</v>
      </c>
      <c r="E9" s="5">
        <v>93</v>
      </c>
      <c r="F9"/>
    </row>
    <row r="10" spans="2:6" x14ac:dyDescent="0.2">
      <c r="B10" s="2" t="s">
        <v>10</v>
      </c>
      <c r="C10" s="3">
        <v>215</v>
      </c>
      <c r="D10" s="3">
        <v>57</v>
      </c>
      <c r="E10" s="3">
        <v>48</v>
      </c>
      <c r="F10"/>
    </row>
    <row r="11" spans="2:6" x14ac:dyDescent="0.2">
      <c r="B11" s="2" t="s">
        <v>11</v>
      </c>
      <c r="C11" s="3">
        <v>78</v>
      </c>
      <c r="D11" s="3">
        <v>8</v>
      </c>
      <c r="E11" s="3">
        <v>5</v>
      </c>
      <c r="F11"/>
    </row>
    <row r="12" spans="2:6" x14ac:dyDescent="0.2">
      <c r="B12" s="2" t="s">
        <v>12</v>
      </c>
      <c r="C12" s="3">
        <v>307</v>
      </c>
      <c r="D12" s="3">
        <v>51</v>
      </c>
      <c r="E12" s="3">
        <v>40</v>
      </c>
      <c r="F12"/>
    </row>
    <row r="13" spans="2:6" x14ac:dyDescent="0.2">
      <c r="B13" s="1" t="s">
        <v>13</v>
      </c>
      <c r="C13" s="5">
        <v>2728</v>
      </c>
      <c r="D13" s="5">
        <v>486</v>
      </c>
      <c r="E13" s="5">
        <v>318</v>
      </c>
      <c r="F13"/>
    </row>
    <row r="14" spans="2:6" x14ac:dyDescent="0.2">
      <c r="B14" s="2" t="s">
        <v>14</v>
      </c>
      <c r="C14" s="3">
        <v>163</v>
      </c>
      <c r="D14" s="3">
        <v>0</v>
      </c>
      <c r="E14" s="3">
        <v>0</v>
      </c>
      <c r="F14"/>
    </row>
    <row r="15" spans="2:6" x14ac:dyDescent="0.2">
      <c r="B15" s="2" t="s">
        <v>15</v>
      </c>
      <c r="C15" s="3">
        <v>2502</v>
      </c>
      <c r="D15" s="3">
        <v>482</v>
      </c>
      <c r="E15" s="3">
        <v>316</v>
      </c>
      <c r="F15"/>
    </row>
    <row r="16" spans="2:6" x14ac:dyDescent="0.2">
      <c r="B16" s="2" t="s">
        <v>16</v>
      </c>
      <c r="C16" s="3">
        <v>63</v>
      </c>
      <c r="D16" s="3">
        <v>4</v>
      </c>
      <c r="E16" s="3">
        <v>2</v>
      </c>
      <c r="F16"/>
    </row>
    <row r="17" spans="2:6" x14ac:dyDescent="0.2">
      <c r="B17" s="10" t="s">
        <v>54</v>
      </c>
      <c r="C17" s="3">
        <v>573</v>
      </c>
      <c r="D17" s="3">
        <v>84</v>
      </c>
      <c r="E17" s="5">
        <v>65</v>
      </c>
      <c r="F17"/>
    </row>
    <row r="18" spans="2:6" x14ac:dyDescent="0.2">
      <c r="B18" s="2" t="s">
        <v>55</v>
      </c>
      <c r="C18" s="3">
        <v>573</v>
      </c>
      <c r="D18" s="3">
        <v>84</v>
      </c>
      <c r="E18" s="3">
        <v>65</v>
      </c>
      <c r="F18"/>
    </row>
    <row r="19" spans="2:6" x14ac:dyDescent="0.2">
      <c r="B19" s="1" t="s">
        <v>17</v>
      </c>
      <c r="C19" s="5">
        <v>679</v>
      </c>
      <c r="D19" s="5">
        <v>225</v>
      </c>
      <c r="E19" s="5">
        <v>114</v>
      </c>
      <c r="F19"/>
    </row>
    <row r="20" spans="2:6" x14ac:dyDescent="0.2">
      <c r="B20" s="2" t="s">
        <v>18</v>
      </c>
      <c r="C20" s="3">
        <v>312</v>
      </c>
      <c r="D20" s="3">
        <v>113</v>
      </c>
      <c r="E20" s="3">
        <v>37</v>
      </c>
      <c r="F20"/>
    </row>
    <row r="21" spans="2:6" x14ac:dyDescent="0.2">
      <c r="B21" s="2" t="s">
        <v>19</v>
      </c>
      <c r="C21" s="3">
        <v>152</v>
      </c>
      <c r="D21" s="3">
        <v>30</v>
      </c>
      <c r="E21" s="3">
        <v>22</v>
      </c>
      <c r="F21"/>
    </row>
    <row r="22" spans="2:6" x14ac:dyDescent="0.2">
      <c r="B22" s="2" t="s">
        <v>20</v>
      </c>
      <c r="C22" s="3">
        <v>80</v>
      </c>
      <c r="D22" s="3">
        <v>22</v>
      </c>
      <c r="E22" s="3">
        <v>17</v>
      </c>
      <c r="F22"/>
    </row>
    <row r="23" spans="2:6" x14ac:dyDescent="0.2">
      <c r="B23" s="2" t="s">
        <v>21</v>
      </c>
      <c r="C23" s="3">
        <v>135</v>
      </c>
      <c r="D23" s="3">
        <v>60</v>
      </c>
      <c r="E23" s="3">
        <v>38</v>
      </c>
      <c r="F23"/>
    </row>
    <row r="24" spans="2:6" x14ac:dyDescent="0.2">
      <c r="B24" s="1" t="s">
        <v>22</v>
      </c>
      <c r="C24" s="5">
        <v>1830</v>
      </c>
      <c r="D24" s="5">
        <v>375</v>
      </c>
      <c r="E24" s="5">
        <v>222</v>
      </c>
      <c r="F24"/>
    </row>
    <row r="25" spans="2:6" x14ac:dyDescent="0.2">
      <c r="B25" s="2" t="s">
        <v>23</v>
      </c>
      <c r="C25" s="3">
        <v>114</v>
      </c>
      <c r="D25" s="3">
        <v>37</v>
      </c>
      <c r="E25" s="3">
        <v>22</v>
      </c>
      <c r="F25"/>
    </row>
    <row r="26" spans="2:6" x14ac:dyDescent="0.2">
      <c r="B26" s="2" t="s">
        <v>24</v>
      </c>
      <c r="C26" s="3">
        <v>408</v>
      </c>
      <c r="D26" s="3">
        <v>117</v>
      </c>
      <c r="E26" s="3">
        <v>74</v>
      </c>
      <c r="F26"/>
    </row>
    <row r="27" spans="2:6" x14ac:dyDescent="0.2">
      <c r="B27" s="2" t="s">
        <v>25</v>
      </c>
      <c r="C27" s="3">
        <v>152</v>
      </c>
      <c r="D27" s="3">
        <v>54</v>
      </c>
      <c r="E27" s="3">
        <v>32</v>
      </c>
      <c r="F27"/>
    </row>
    <row r="28" spans="2:6" x14ac:dyDescent="0.2">
      <c r="B28" s="2" t="s">
        <v>56</v>
      </c>
      <c r="C28" s="3">
        <v>906</v>
      </c>
      <c r="D28" s="3">
        <v>96</v>
      </c>
      <c r="E28" s="3">
        <v>54</v>
      </c>
      <c r="F28"/>
    </row>
    <row r="29" spans="2:6" x14ac:dyDescent="0.2">
      <c r="B29" s="2" t="s">
        <v>26</v>
      </c>
      <c r="C29" s="3">
        <v>250</v>
      </c>
      <c r="D29" s="3">
        <v>71</v>
      </c>
      <c r="E29" s="3">
        <v>40</v>
      </c>
      <c r="F29"/>
    </row>
    <row r="30" spans="2:6" x14ac:dyDescent="0.2">
      <c r="B30" s="1" t="s">
        <v>27</v>
      </c>
      <c r="C30" s="5">
        <v>807</v>
      </c>
      <c r="D30" s="5">
        <v>262</v>
      </c>
      <c r="E30" s="5">
        <v>112</v>
      </c>
      <c r="F30"/>
    </row>
    <row r="31" spans="2:6" x14ac:dyDescent="0.2">
      <c r="B31" s="2" t="s">
        <v>28</v>
      </c>
      <c r="C31" s="3">
        <v>505</v>
      </c>
      <c r="D31" s="3">
        <v>191</v>
      </c>
      <c r="E31" s="3">
        <v>72</v>
      </c>
      <c r="F31"/>
    </row>
    <row r="32" spans="2:6" x14ac:dyDescent="0.2">
      <c r="B32" s="2" t="s">
        <v>29</v>
      </c>
      <c r="C32" s="3">
        <v>302</v>
      </c>
      <c r="D32" s="3">
        <v>71</v>
      </c>
      <c r="E32" s="3">
        <v>40</v>
      </c>
      <c r="F32"/>
    </row>
    <row r="33" spans="2:6" x14ac:dyDescent="0.2">
      <c r="B33" s="1" t="s">
        <v>30</v>
      </c>
      <c r="C33" s="5">
        <v>941</v>
      </c>
      <c r="D33" s="5">
        <v>153</v>
      </c>
      <c r="E33" s="5">
        <v>111</v>
      </c>
      <c r="F33"/>
    </row>
    <row r="34" spans="2:6" x14ac:dyDescent="0.2">
      <c r="B34" s="2" t="s">
        <v>31</v>
      </c>
      <c r="C34" s="3">
        <v>941</v>
      </c>
      <c r="D34" s="3">
        <v>153</v>
      </c>
      <c r="E34" s="3">
        <v>111</v>
      </c>
      <c r="F34"/>
    </row>
    <row r="35" spans="2:6" x14ac:dyDescent="0.2">
      <c r="B35" s="1" t="s">
        <v>32</v>
      </c>
      <c r="C35" s="5">
        <v>2733</v>
      </c>
      <c r="D35" s="5">
        <v>482</v>
      </c>
      <c r="E35" s="5">
        <v>291</v>
      </c>
      <c r="F35"/>
    </row>
    <row r="36" spans="2:6" x14ac:dyDescent="0.2">
      <c r="B36" s="2" t="s">
        <v>33</v>
      </c>
      <c r="C36" s="3">
        <v>2733</v>
      </c>
      <c r="D36" s="3">
        <v>482</v>
      </c>
      <c r="E36" s="3">
        <v>291</v>
      </c>
      <c r="F36"/>
    </row>
    <row r="37" spans="2:6" x14ac:dyDescent="0.2">
      <c r="B37" s="1" t="s">
        <v>34</v>
      </c>
      <c r="C37" s="5">
        <v>1426</v>
      </c>
      <c r="D37" s="5">
        <v>337</v>
      </c>
      <c r="E37" s="5">
        <v>266</v>
      </c>
      <c r="F37"/>
    </row>
    <row r="38" spans="2:6" x14ac:dyDescent="0.2">
      <c r="B38" s="2" t="s">
        <v>35</v>
      </c>
      <c r="C38" s="3">
        <v>1426</v>
      </c>
      <c r="D38" s="3">
        <v>337</v>
      </c>
      <c r="E38" s="3">
        <v>266</v>
      </c>
      <c r="F38"/>
    </row>
    <row r="39" spans="2:6" x14ac:dyDescent="0.2">
      <c r="B39" s="1" t="s">
        <v>36</v>
      </c>
      <c r="C39" s="5">
        <v>824</v>
      </c>
      <c r="D39" s="5">
        <v>213</v>
      </c>
      <c r="E39" s="5">
        <v>157</v>
      </c>
      <c r="F39"/>
    </row>
    <row r="40" spans="2:6" x14ac:dyDescent="0.2">
      <c r="B40" s="2" t="s">
        <v>37</v>
      </c>
      <c r="C40" s="3">
        <v>454</v>
      </c>
      <c r="D40" s="3">
        <v>124</v>
      </c>
      <c r="E40" s="3">
        <v>96</v>
      </c>
      <c r="F40"/>
    </row>
    <row r="41" spans="2:6" x14ac:dyDescent="0.2">
      <c r="B41" s="2" t="s">
        <v>38</v>
      </c>
      <c r="C41" s="3">
        <v>370</v>
      </c>
      <c r="D41" s="3">
        <v>89</v>
      </c>
      <c r="E41" s="3">
        <v>61</v>
      </c>
      <c r="F41"/>
    </row>
    <row r="42" spans="2:6" x14ac:dyDescent="0.2">
      <c r="B42" s="66" t="s">
        <v>63</v>
      </c>
      <c r="C42" s="5">
        <v>1115</v>
      </c>
      <c r="D42" s="5">
        <v>237</v>
      </c>
      <c r="E42" s="5">
        <v>138</v>
      </c>
      <c r="F42"/>
    </row>
    <row r="43" spans="2:6" x14ac:dyDescent="0.2">
      <c r="B43" s="2" t="s">
        <v>39</v>
      </c>
      <c r="C43" s="3">
        <v>165</v>
      </c>
      <c r="D43" s="3">
        <v>53</v>
      </c>
      <c r="E43" s="3">
        <v>39</v>
      </c>
      <c r="F43"/>
    </row>
    <row r="44" spans="2:6" x14ac:dyDescent="0.2">
      <c r="B44" s="2" t="s">
        <v>40</v>
      </c>
      <c r="C44" s="3">
        <v>136</v>
      </c>
      <c r="D44" s="3">
        <v>44</v>
      </c>
      <c r="E44" s="3">
        <v>25</v>
      </c>
      <c r="F44"/>
    </row>
    <row r="45" spans="2:6" x14ac:dyDescent="0.2">
      <c r="B45" s="2" t="s">
        <v>57</v>
      </c>
      <c r="C45" s="3">
        <v>814</v>
      </c>
      <c r="D45" s="3">
        <v>140</v>
      </c>
      <c r="E45" s="3">
        <v>74</v>
      </c>
      <c r="F45"/>
    </row>
    <row r="46" spans="2:6" x14ac:dyDescent="0.2">
      <c r="B46" s="1" t="s">
        <v>41</v>
      </c>
      <c r="C46" s="5">
        <v>379</v>
      </c>
      <c r="D46" s="5">
        <v>98</v>
      </c>
      <c r="E46" s="5">
        <v>66</v>
      </c>
      <c r="F46"/>
    </row>
    <row r="47" spans="2:6" x14ac:dyDescent="0.2">
      <c r="B47" s="2" t="s">
        <v>42</v>
      </c>
      <c r="C47" s="3">
        <v>94</v>
      </c>
      <c r="D47" s="3">
        <v>29</v>
      </c>
      <c r="E47" s="3">
        <v>16</v>
      </c>
      <c r="F47"/>
    </row>
    <row r="48" spans="2:6" x14ac:dyDescent="0.2">
      <c r="B48" s="2" t="s">
        <v>44</v>
      </c>
      <c r="C48" s="3">
        <v>121</v>
      </c>
      <c r="D48" s="3">
        <v>15</v>
      </c>
      <c r="E48" s="3">
        <v>11</v>
      </c>
      <c r="F48"/>
    </row>
    <row r="49" spans="2:6" x14ac:dyDescent="0.2">
      <c r="B49" s="2" t="s">
        <v>45</v>
      </c>
      <c r="C49" s="3">
        <v>69</v>
      </c>
      <c r="D49" s="3">
        <v>17</v>
      </c>
      <c r="E49" s="3">
        <v>11</v>
      </c>
      <c r="F49"/>
    </row>
    <row r="50" spans="2:6" x14ac:dyDescent="0.2">
      <c r="B50" s="2" t="s">
        <v>46</v>
      </c>
      <c r="C50" s="3">
        <v>91</v>
      </c>
      <c r="D50" s="3">
        <v>35</v>
      </c>
      <c r="E50" s="3">
        <v>28</v>
      </c>
      <c r="F50"/>
    </row>
    <row r="51" spans="2:6" x14ac:dyDescent="0.2">
      <c r="B51" s="1" t="s">
        <v>47</v>
      </c>
      <c r="C51" s="5">
        <v>290</v>
      </c>
      <c r="D51" s="5">
        <v>121</v>
      </c>
      <c r="E51" s="5">
        <v>70</v>
      </c>
      <c r="F51"/>
    </row>
    <row r="52" spans="2:6" x14ac:dyDescent="0.2">
      <c r="B52" s="2" t="s">
        <v>48</v>
      </c>
      <c r="C52" s="3">
        <v>290</v>
      </c>
      <c r="D52" s="3">
        <v>121</v>
      </c>
      <c r="E52" s="3">
        <v>70</v>
      </c>
      <c r="F52"/>
    </row>
    <row r="53" spans="2:6" x14ac:dyDescent="0.2">
      <c r="B53" s="1" t="s">
        <v>49</v>
      </c>
      <c r="C53" s="5">
        <v>925</v>
      </c>
      <c r="D53" s="5">
        <v>246</v>
      </c>
      <c r="E53" s="5">
        <v>172</v>
      </c>
      <c r="F53"/>
    </row>
    <row r="54" spans="2:6" x14ac:dyDescent="0.2">
      <c r="B54" s="2" t="s">
        <v>50</v>
      </c>
      <c r="C54" s="3">
        <v>541</v>
      </c>
      <c r="D54" s="3">
        <v>154</v>
      </c>
      <c r="E54" s="3">
        <v>106</v>
      </c>
      <c r="F54"/>
    </row>
    <row r="55" spans="2:6" x14ac:dyDescent="0.2">
      <c r="B55" s="2" t="s">
        <v>51</v>
      </c>
      <c r="C55" s="3">
        <v>186</v>
      </c>
      <c r="D55" s="3">
        <v>49</v>
      </c>
      <c r="E55" s="3">
        <v>31</v>
      </c>
      <c r="F55"/>
    </row>
    <row r="56" spans="2:6" x14ac:dyDescent="0.2">
      <c r="B56" s="2" t="s">
        <v>52</v>
      </c>
      <c r="C56" s="3">
        <v>198</v>
      </c>
      <c r="D56" s="3">
        <v>43</v>
      </c>
      <c r="E56" s="3">
        <v>35</v>
      </c>
      <c r="F56"/>
    </row>
    <row r="57" spans="2:6" x14ac:dyDescent="0.2">
      <c r="B57" s="6" t="s">
        <v>53</v>
      </c>
      <c r="C57" s="7">
        <v>17847</v>
      </c>
      <c r="D57" s="7">
        <v>3842</v>
      </c>
      <c r="E57" s="7">
        <v>2462</v>
      </c>
      <c r="F57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F2693-BED6-644B-8EA8-232AC6670043}">
  <dimension ref="B2:E57"/>
  <sheetViews>
    <sheetView topLeftCell="A35" zoomScale="165" workbookViewId="0">
      <selection activeCell="D14" sqref="D14"/>
    </sheetView>
  </sheetViews>
  <sheetFormatPr baseColWidth="10" defaultColWidth="8.83203125" defaultRowHeight="15" x14ac:dyDescent="0.2"/>
  <cols>
    <col min="2" max="2" width="44.83203125" bestFit="1" customWidth="1"/>
    <col min="3" max="6" width="12.6640625" customWidth="1"/>
  </cols>
  <sheetData>
    <row r="2" spans="2:5" x14ac:dyDescent="0.2">
      <c r="B2" s="11"/>
      <c r="C2" s="11" t="s">
        <v>0</v>
      </c>
      <c r="D2" s="11" t="s">
        <v>1</v>
      </c>
      <c r="E2" s="11" t="s">
        <v>58</v>
      </c>
    </row>
    <row r="3" spans="2:5" x14ac:dyDescent="0.2">
      <c r="B3" s="12" t="s">
        <v>3</v>
      </c>
      <c r="C3" s="12">
        <v>1536</v>
      </c>
      <c r="D3" s="12">
        <v>249</v>
      </c>
      <c r="E3" s="12">
        <v>136</v>
      </c>
    </row>
    <row r="4" spans="2:5" x14ac:dyDescent="0.2">
      <c r="B4" s="13" t="s">
        <v>4</v>
      </c>
      <c r="C4" s="13">
        <v>1536</v>
      </c>
      <c r="D4" s="13">
        <v>249</v>
      </c>
      <c r="E4" s="13">
        <v>136</v>
      </c>
    </row>
    <row r="5" spans="2:5" x14ac:dyDescent="0.2">
      <c r="B5" s="12" t="s">
        <v>5</v>
      </c>
      <c r="C5" s="12">
        <v>488</v>
      </c>
      <c r="D5" s="12">
        <v>178</v>
      </c>
      <c r="E5" s="12">
        <v>57</v>
      </c>
    </row>
    <row r="6" spans="2:5" x14ac:dyDescent="0.2">
      <c r="B6" s="13" t="s">
        <v>6</v>
      </c>
      <c r="C6" s="13">
        <v>197</v>
      </c>
      <c r="D6" s="13">
        <v>27</v>
      </c>
      <c r="E6" s="13">
        <v>13</v>
      </c>
    </row>
    <row r="7" spans="2:5" x14ac:dyDescent="0.2">
      <c r="B7" s="13" t="s">
        <v>7</v>
      </c>
      <c r="C7" s="13">
        <v>211</v>
      </c>
      <c r="D7" s="13">
        <v>117</v>
      </c>
      <c r="E7" s="13">
        <v>37</v>
      </c>
    </row>
    <row r="8" spans="2:5" x14ac:dyDescent="0.2">
      <c r="B8" s="13" t="s">
        <v>8</v>
      </c>
      <c r="C8" s="13">
        <v>80</v>
      </c>
      <c r="D8" s="13">
        <v>34</v>
      </c>
      <c r="E8" s="13">
        <v>7</v>
      </c>
    </row>
    <row r="9" spans="2:5" x14ac:dyDescent="0.2">
      <c r="B9" s="12" t="s">
        <v>9</v>
      </c>
      <c r="C9" s="12">
        <v>572</v>
      </c>
      <c r="D9" s="12">
        <v>121</v>
      </c>
      <c r="E9" s="12">
        <v>66</v>
      </c>
    </row>
    <row r="10" spans="2:5" x14ac:dyDescent="0.2">
      <c r="B10" s="13" t="s">
        <v>10</v>
      </c>
      <c r="C10" s="13">
        <v>200</v>
      </c>
      <c r="D10" s="13">
        <v>64</v>
      </c>
      <c r="E10" s="13">
        <v>35</v>
      </c>
    </row>
    <row r="11" spans="2:5" x14ac:dyDescent="0.2">
      <c r="B11" s="13" t="s">
        <v>11</v>
      </c>
      <c r="C11" s="13">
        <v>42</v>
      </c>
      <c r="D11" s="13">
        <v>7</v>
      </c>
      <c r="E11" s="13">
        <v>4</v>
      </c>
    </row>
    <row r="12" spans="2:5" x14ac:dyDescent="0.2">
      <c r="B12" s="13" t="s">
        <v>12</v>
      </c>
      <c r="C12" s="13">
        <v>330</v>
      </c>
      <c r="D12" s="13">
        <v>50</v>
      </c>
      <c r="E12" s="13">
        <v>27</v>
      </c>
    </row>
    <row r="13" spans="2:5" x14ac:dyDescent="0.2">
      <c r="B13" s="12" t="s">
        <v>13</v>
      </c>
      <c r="C13" s="12">
        <v>2825</v>
      </c>
      <c r="D13" s="12">
        <v>504</v>
      </c>
      <c r="E13" s="12">
        <v>227</v>
      </c>
    </row>
    <row r="14" spans="2:5" x14ac:dyDescent="0.2">
      <c r="B14" s="13" t="s">
        <v>14</v>
      </c>
      <c r="C14" s="13">
        <v>164</v>
      </c>
      <c r="D14" s="12"/>
      <c r="E14" s="12"/>
    </row>
    <row r="15" spans="2:5" x14ac:dyDescent="0.2">
      <c r="B15" s="13" t="s">
        <v>15</v>
      </c>
      <c r="C15" s="13">
        <v>2599</v>
      </c>
      <c r="D15" s="13">
        <v>499</v>
      </c>
      <c r="E15" s="13">
        <v>225</v>
      </c>
    </row>
    <row r="16" spans="2:5" x14ac:dyDescent="0.2">
      <c r="B16" s="13" t="s">
        <v>16</v>
      </c>
      <c r="C16" s="13">
        <v>62</v>
      </c>
      <c r="D16" s="13">
        <v>5</v>
      </c>
      <c r="E16" s="13">
        <v>2</v>
      </c>
    </row>
    <row r="17" spans="2:5" x14ac:dyDescent="0.2">
      <c r="B17" s="12" t="s">
        <v>54</v>
      </c>
      <c r="C17" s="12">
        <v>572</v>
      </c>
      <c r="D17" s="12">
        <v>79</v>
      </c>
      <c r="E17" s="12">
        <v>37</v>
      </c>
    </row>
    <row r="18" spans="2:5" x14ac:dyDescent="0.2">
      <c r="B18" s="13" t="s">
        <v>55</v>
      </c>
      <c r="C18" s="13">
        <v>572</v>
      </c>
      <c r="D18" s="13">
        <v>79</v>
      </c>
      <c r="E18" s="13">
        <v>37</v>
      </c>
    </row>
    <row r="19" spans="2:5" x14ac:dyDescent="0.2">
      <c r="B19" s="12" t="s">
        <v>17</v>
      </c>
      <c r="C19" s="12">
        <v>698</v>
      </c>
      <c r="D19" s="12">
        <v>232</v>
      </c>
      <c r="E19" s="12">
        <v>74</v>
      </c>
    </row>
    <row r="20" spans="2:5" x14ac:dyDescent="0.2">
      <c r="B20" s="13" t="s">
        <v>18</v>
      </c>
      <c r="C20" s="13">
        <v>318</v>
      </c>
      <c r="D20" s="13">
        <v>115</v>
      </c>
      <c r="E20" s="13">
        <v>36</v>
      </c>
    </row>
    <row r="21" spans="2:5" x14ac:dyDescent="0.2">
      <c r="B21" s="13" t="s">
        <v>19</v>
      </c>
      <c r="C21" s="13">
        <v>147</v>
      </c>
      <c r="D21" s="13">
        <v>28</v>
      </c>
      <c r="E21" s="13">
        <v>12</v>
      </c>
    </row>
    <row r="22" spans="2:5" x14ac:dyDescent="0.2">
      <c r="B22" s="13" t="s">
        <v>20</v>
      </c>
      <c r="C22" s="13">
        <v>89</v>
      </c>
      <c r="D22" s="13">
        <v>12</v>
      </c>
      <c r="E22" s="13">
        <v>4</v>
      </c>
    </row>
    <row r="23" spans="2:5" x14ac:dyDescent="0.2">
      <c r="B23" s="13" t="s">
        <v>21</v>
      </c>
      <c r="C23" s="13">
        <v>144</v>
      </c>
      <c r="D23" s="13">
        <v>77</v>
      </c>
      <c r="E23" s="13">
        <v>22</v>
      </c>
    </row>
    <row r="24" spans="2:5" x14ac:dyDescent="0.2">
      <c r="B24" s="12" t="s">
        <v>22</v>
      </c>
      <c r="C24" s="12">
        <v>1889</v>
      </c>
      <c r="D24" s="12">
        <v>362</v>
      </c>
      <c r="E24" s="12">
        <v>149</v>
      </c>
    </row>
    <row r="25" spans="2:5" x14ac:dyDescent="0.2">
      <c r="B25" s="13" t="s">
        <v>59</v>
      </c>
      <c r="C25" s="13">
        <v>146</v>
      </c>
      <c r="D25" s="13">
        <v>48</v>
      </c>
      <c r="E25" s="13">
        <v>18</v>
      </c>
    </row>
    <row r="26" spans="2:5" x14ac:dyDescent="0.2">
      <c r="B26" s="13" t="s">
        <v>60</v>
      </c>
      <c r="C26" s="13">
        <v>457</v>
      </c>
      <c r="D26" s="13">
        <v>115</v>
      </c>
      <c r="E26" s="13">
        <v>55</v>
      </c>
    </row>
    <row r="27" spans="2:5" x14ac:dyDescent="0.2">
      <c r="B27" s="13" t="s">
        <v>61</v>
      </c>
      <c r="C27" s="13">
        <v>189</v>
      </c>
      <c r="D27" s="13">
        <v>58</v>
      </c>
      <c r="E27" s="13">
        <v>21</v>
      </c>
    </row>
    <row r="28" spans="2:5" x14ac:dyDescent="0.2">
      <c r="B28" s="13" t="s">
        <v>56</v>
      </c>
      <c r="C28" s="13">
        <v>874</v>
      </c>
      <c r="D28" s="13">
        <v>84</v>
      </c>
      <c r="E28" s="13">
        <v>33</v>
      </c>
    </row>
    <row r="29" spans="2:5" x14ac:dyDescent="0.2">
      <c r="B29" s="13" t="s">
        <v>26</v>
      </c>
      <c r="C29" s="13">
        <v>223</v>
      </c>
      <c r="D29" s="13">
        <v>57</v>
      </c>
      <c r="E29" s="13">
        <v>22</v>
      </c>
    </row>
    <row r="30" spans="2:5" x14ac:dyDescent="0.2">
      <c r="B30" s="12" t="s">
        <v>27</v>
      </c>
      <c r="C30" s="12">
        <v>787</v>
      </c>
      <c r="D30" s="12">
        <v>293</v>
      </c>
      <c r="E30" s="12">
        <v>85</v>
      </c>
    </row>
    <row r="31" spans="2:5" x14ac:dyDescent="0.2">
      <c r="B31" s="13" t="s">
        <v>28</v>
      </c>
      <c r="C31" s="13">
        <v>436</v>
      </c>
      <c r="D31" s="13">
        <v>201</v>
      </c>
      <c r="E31" s="13">
        <v>57</v>
      </c>
    </row>
    <row r="32" spans="2:5" x14ac:dyDescent="0.2">
      <c r="B32" s="13" t="s">
        <v>29</v>
      </c>
      <c r="C32" s="13">
        <v>351</v>
      </c>
      <c r="D32" s="13">
        <v>92</v>
      </c>
      <c r="E32" s="13">
        <v>28</v>
      </c>
    </row>
    <row r="33" spans="2:5" x14ac:dyDescent="0.2">
      <c r="B33" s="12" t="s">
        <v>30</v>
      </c>
      <c r="C33" s="12">
        <v>1011</v>
      </c>
      <c r="D33" s="12">
        <v>161</v>
      </c>
      <c r="E33" s="12">
        <v>62</v>
      </c>
    </row>
    <row r="34" spans="2:5" x14ac:dyDescent="0.2">
      <c r="B34" s="13" t="s">
        <v>31</v>
      </c>
      <c r="C34" s="13">
        <v>1011</v>
      </c>
      <c r="D34" s="13">
        <v>161</v>
      </c>
      <c r="E34" s="13">
        <v>62</v>
      </c>
    </row>
    <row r="35" spans="2:5" x14ac:dyDescent="0.2">
      <c r="B35" s="12" t="s">
        <v>32</v>
      </c>
      <c r="C35" s="12">
        <v>2751</v>
      </c>
      <c r="D35" s="12">
        <v>463</v>
      </c>
      <c r="E35" s="12">
        <v>158</v>
      </c>
    </row>
    <row r="36" spans="2:5" x14ac:dyDescent="0.2">
      <c r="B36" s="13" t="s">
        <v>33</v>
      </c>
      <c r="C36" s="13">
        <v>2751</v>
      </c>
      <c r="D36" s="13">
        <v>463</v>
      </c>
      <c r="E36" s="13">
        <v>158</v>
      </c>
    </row>
    <row r="37" spans="2:5" x14ac:dyDescent="0.2">
      <c r="B37" s="12" t="s">
        <v>34</v>
      </c>
      <c r="C37" s="12">
        <v>1404</v>
      </c>
      <c r="D37" s="12">
        <v>359</v>
      </c>
      <c r="E37" s="12">
        <v>151</v>
      </c>
    </row>
    <row r="38" spans="2:5" x14ac:dyDescent="0.2">
      <c r="B38" s="13" t="s">
        <v>35</v>
      </c>
      <c r="C38" s="13">
        <v>1404</v>
      </c>
      <c r="D38" s="13">
        <v>359</v>
      </c>
      <c r="E38" s="13">
        <v>151</v>
      </c>
    </row>
    <row r="39" spans="2:5" x14ac:dyDescent="0.2">
      <c r="B39" s="12" t="s">
        <v>36</v>
      </c>
      <c r="C39" s="12">
        <v>1233</v>
      </c>
      <c r="D39" s="12">
        <v>298</v>
      </c>
      <c r="E39" s="12">
        <v>143</v>
      </c>
    </row>
    <row r="40" spans="2:5" x14ac:dyDescent="0.2">
      <c r="B40" s="13" t="s">
        <v>62</v>
      </c>
      <c r="C40" s="13">
        <v>330</v>
      </c>
      <c r="D40" s="13">
        <v>84</v>
      </c>
      <c r="E40" s="13">
        <v>40</v>
      </c>
    </row>
    <row r="41" spans="2:5" x14ac:dyDescent="0.2">
      <c r="B41" s="13" t="s">
        <v>37</v>
      </c>
      <c r="C41" s="13">
        <v>540</v>
      </c>
      <c r="D41" s="13">
        <v>104</v>
      </c>
      <c r="E41" s="13">
        <v>49</v>
      </c>
    </row>
    <row r="42" spans="2:5" x14ac:dyDescent="0.2">
      <c r="B42" s="13" t="s">
        <v>38</v>
      </c>
      <c r="C42" s="13">
        <v>363</v>
      </c>
      <c r="D42" s="13">
        <v>110</v>
      </c>
      <c r="E42" s="13">
        <v>54</v>
      </c>
    </row>
    <row r="43" spans="2:5" x14ac:dyDescent="0.2">
      <c r="B43" s="12" t="s">
        <v>63</v>
      </c>
      <c r="C43" s="12">
        <v>1188</v>
      </c>
      <c r="D43" s="12">
        <v>257</v>
      </c>
      <c r="E43" s="12">
        <v>85</v>
      </c>
    </row>
    <row r="44" spans="2:5" x14ac:dyDescent="0.2">
      <c r="B44" s="13" t="s">
        <v>39</v>
      </c>
      <c r="C44" s="13">
        <v>193</v>
      </c>
      <c r="D44" s="13">
        <v>59</v>
      </c>
      <c r="E44" s="13">
        <v>30</v>
      </c>
    </row>
    <row r="45" spans="2:5" x14ac:dyDescent="0.2">
      <c r="B45" s="13" t="s">
        <v>40</v>
      </c>
      <c r="C45" s="13">
        <v>148</v>
      </c>
      <c r="D45" s="13">
        <v>52</v>
      </c>
      <c r="E45" s="13">
        <v>18</v>
      </c>
    </row>
    <row r="46" spans="2:5" x14ac:dyDescent="0.2">
      <c r="B46" s="13" t="s">
        <v>57</v>
      </c>
      <c r="C46" s="13">
        <v>847</v>
      </c>
      <c r="D46" s="13">
        <v>146</v>
      </c>
      <c r="E46" s="13">
        <v>37</v>
      </c>
    </row>
    <row r="47" spans="2:5" x14ac:dyDescent="0.2">
      <c r="B47" s="12" t="s">
        <v>41</v>
      </c>
      <c r="C47" s="12">
        <v>438</v>
      </c>
      <c r="D47" s="12">
        <v>118</v>
      </c>
      <c r="E47" s="12">
        <v>40</v>
      </c>
    </row>
    <row r="48" spans="2:5" x14ac:dyDescent="0.2">
      <c r="B48" s="13" t="s">
        <v>64</v>
      </c>
      <c r="C48" s="13">
        <v>105</v>
      </c>
      <c r="D48" s="13">
        <v>36</v>
      </c>
      <c r="E48" s="13">
        <v>18</v>
      </c>
    </row>
    <row r="49" spans="2:5" x14ac:dyDescent="0.2">
      <c r="B49" s="13" t="s">
        <v>42</v>
      </c>
      <c r="C49" s="13">
        <v>99</v>
      </c>
      <c r="D49" s="13">
        <v>37</v>
      </c>
      <c r="E49" s="13">
        <v>10</v>
      </c>
    </row>
    <row r="50" spans="2:5" x14ac:dyDescent="0.2">
      <c r="B50" s="13" t="s">
        <v>44</v>
      </c>
      <c r="C50" s="13">
        <v>154</v>
      </c>
      <c r="D50" s="13">
        <v>20</v>
      </c>
      <c r="E50" s="13">
        <v>8</v>
      </c>
    </row>
    <row r="51" spans="2:5" x14ac:dyDescent="0.2">
      <c r="B51" s="13" t="s">
        <v>45</v>
      </c>
      <c r="C51" s="13">
        <v>80</v>
      </c>
      <c r="D51" s="13">
        <v>25</v>
      </c>
      <c r="E51" s="13">
        <v>4</v>
      </c>
    </row>
    <row r="52" spans="2:5" x14ac:dyDescent="0.2">
      <c r="B52" s="12" t="s">
        <v>47</v>
      </c>
      <c r="C52" s="12">
        <v>286</v>
      </c>
      <c r="D52" s="12">
        <v>131</v>
      </c>
      <c r="E52" s="12">
        <v>47</v>
      </c>
    </row>
    <row r="53" spans="2:5" x14ac:dyDescent="0.2">
      <c r="B53" s="13" t="s">
        <v>48</v>
      </c>
      <c r="C53" s="13">
        <v>286</v>
      </c>
      <c r="D53" s="13">
        <v>131</v>
      </c>
      <c r="E53" s="13">
        <v>47</v>
      </c>
    </row>
    <row r="54" spans="2:5" x14ac:dyDescent="0.2">
      <c r="B54" s="12" t="s">
        <v>49</v>
      </c>
      <c r="C54" s="12">
        <v>693</v>
      </c>
      <c r="D54" s="12">
        <v>221</v>
      </c>
      <c r="E54" s="12">
        <v>87</v>
      </c>
    </row>
    <row r="55" spans="2:5" x14ac:dyDescent="0.2">
      <c r="B55" s="13" t="s">
        <v>50</v>
      </c>
      <c r="C55" s="13">
        <v>496</v>
      </c>
      <c r="D55" s="13">
        <v>157</v>
      </c>
      <c r="E55" s="13">
        <v>64</v>
      </c>
    </row>
    <row r="56" spans="2:5" x14ac:dyDescent="0.2">
      <c r="B56" s="13" t="s">
        <v>65</v>
      </c>
      <c r="C56" s="13">
        <v>191</v>
      </c>
      <c r="D56" s="13">
        <v>64</v>
      </c>
      <c r="E56" s="13">
        <v>23</v>
      </c>
    </row>
    <row r="57" spans="2:5" x14ac:dyDescent="0.2">
      <c r="B57" s="14" t="s">
        <v>53</v>
      </c>
      <c r="C57" s="14">
        <v>18365</v>
      </c>
      <c r="D57" s="14">
        <v>4026</v>
      </c>
      <c r="E57" s="14">
        <v>1604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C6234-EE7E-4B4E-A8FD-E94344AFDB40}">
  <dimension ref="B2:E62"/>
  <sheetViews>
    <sheetView zoomScale="125" workbookViewId="0">
      <selection activeCell="E19" sqref="E19"/>
    </sheetView>
  </sheetViews>
  <sheetFormatPr baseColWidth="10" defaultColWidth="8.83203125" defaultRowHeight="15" x14ac:dyDescent="0.2"/>
  <cols>
    <col min="2" max="2" width="44.83203125" bestFit="1" customWidth="1"/>
    <col min="3" max="6" width="12.6640625" customWidth="1"/>
  </cols>
  <sheetData>
    <row r="2" spans="2:5" x14ac:dyDescent="0.2">
      <c r="B2" s="11"/>
      <c r="C2" s="11" t="s">
        <v>0</v>
      </c>
      <c r="D2" s="11" t="s">
        <v>1</v>
      </c>
      <c r="E2" s="11" t="s">
        <v>58</v>
      </c>
    </row>
    <row r="3" spans="2:5" x14ac:dyDescent="0.2">
      <c r="B3" s="37" t="s">
        <v>3</v>
      </c>
      <c r="C3" s="49">
        <v>1895</v>
      </c>
      <c r="D3" s="49">
        <v>175</v>
      </c>
      <c r="E3" s="49">
        <v>118</v>
      </c>
    </row>
    <row r="4" spans="2:5" x14ac:dyDescent="0.2">
      <c r="B4" s="38" t="s">
        <v>4</v>
      </c>
      <c r="C4" s="50">
        <v>1895</v>
      </c>
      <c r="D4" s="50">
        <v>175</v>
      </c>
      <c r="E4" s="50">
        <v>118</v>
      </c>
    </row>
    <row r="5" spans="2:5" x14ac:dyDescent="0.2">
      <c r="B5" s="37" t="s">
        <v>5</v>
      </c>
      <c r="C5" s="49">
        <v>612</v>
      </c>
      <c r="D5" s="49">
        <v>158</v>
      </c>
      <c r="E5" s="49">
        <v>65</v>
      </c>
    </row>
    <row r="6" spans="2:5" x14ac:dyDescent="0.2">
      <c r="B6" s="38" t="s">
        <v>6</v>
      </c>
      <c r="C6" s="50">
        <v>251</v>
      </c>
      <c r="D6" s="50">
        <v>28</v>
      </c>
      <c r="E6" s="50">
        <v>22</v>
      </c>
    </row>
    <row r="7" spans="2:5" x14ac:dyDescent="0.2">
      <c r="B7" s="38" t="s">
        <v>7</v>
      </c>
      <c r="C7" s="50">
        <v>204</v>
      </c>
      <c r="D7" s="50">
        <v>80</v>
      </c>
      <c r="E7" s="50">
        <v>25</v>
      </c>
    </row>
    <row r="8" spans="2:5" x14ac:dyDescent="0.2">
      <c r="B8" s="38" t="s">
        <v>8</v>
      </c>
      <c r="C8" s="50">
        <v>157</v>
      </c>
      <c r="D8" s="50">
        <v>50</v>
      </c>
      <c r="E8" s="50">
        <v>18</v>
      </c>
    </row>
    <row r="9" spans="2:5" x14ac:dyDescent="0.2">
      <c r="B9" s="37" t="s">
        <v>9</v>
      </c>
      <c r="C9" s="49">
        <v>1016</v>
      </c>
      <c r="D9" s="49">
        <v>90</v>
      </c>
      <c r="E9" s="49">
        <v>71</v>
      </c>
    </row>
    <row r="10" spans="2:5" x14ac:dyDescent="0.2">
      <c r="B10" s="38" t="s">
        <v>10</v>
      </c>
      <c r="C10" s="50">
        <v>352</v>
      </c>
      <c r="D10" s="50">
        <v>44</v>
      </c>
      <c r="E10" s="50">
        <v>35</v>
      </c>
    </row>
    <row r="11" spans="2:5" x14ac:dyDescent="0.2">
      <c r="B11" s="38" t="s">
        <v>79</v>
      </c>
      <c r="C11" s="50">
        <v>80</v>
      </c>
      <c r="D11" s="50">
        <v>14</v>
      </c>
      <c r="E11" s="50">
        <v>12</v>
      </c>
    </row>
    <row r="12" spans="2:5" x14ac:dyDescent="0.2">
      <c r="B12" s="38" t="s">
        <v>11</v>
      </c>
      <c r="C12" s="50">
        <v>17</v>
      </c>
      <c r="D12" s="51" t="s">
        <v>66</v>
      </c>
      <c r="E12" s="51" t="s">
        <v>66</v>
      </c>
    </row>
    <row r="13" spans="2:5" x14ac:dyDescent="0.2">
      <c r="B13" s="38" t="s">
        <v>12</v>
      </c>
      <c r="C13" s="50">
        <v>567</v>
      </c>
      <c r="D13" s="50">
        <v>32</v>
      </c>
      <c r="E13" s="50">
        <v>24</v>
      </c>
    </row>
    <row r="14" spans="2:5" x14ac:dyDescent="0.2">
      <c r="B14" s="37" t="s">
        <v>13</v>
      </c>
      <c r="C14" s="49">
        <v>4395</v>
      </c>
      <c r="D14" s="49">
        <v>305</v>
      </c>
      <c r="E14" s="49">
        <v>204</v>
      </c>
    </row>
    <row r="15" spans="2:5" x14ac:dyDescent="0.2">
      <c r="B15" s="38" t="s">
        <v>14</v>
      </c>
      <c r="C15" s="50">
        <v>261</v>
      </c>
      <c r="D15" s="51" t="s">
        <v>66</v>
      </c>
      <c r="E15" s="51" t="s">
        <v>66</v>
      </c>
    </row>
    <row r="16" spans="2:5" x14ac:dyDescent="0.2">
      <c r="B16" s="38" t="s">
        <v>15</v>
      </c>
      <c r="C16" s="50">
        <v>4128</v>
      </c>
      <c r="D16" s="50">
        <v>305</v>
      </c>
      <c r="E16" s="50">
        <v>204</v>
      </c>
    </row>
    <row r="17" spans="2:5" x14ac:dyDescent="0.2">
      <c r="B17" s="38" t="s">
        <v>16</v>
      </c>
      <c r="C17" s="51" t="s">
        <v>66</v>
      </c>
      <c r="D17" s="51" t="s">
        <v>66</v>
      </c>
      <c r="E17" s="51" t="s">
        <v>66</v>
      </c>
    </row>
    <row r="18" spans="2:5" x14ac:dyDescent="0.2">
      <c r="B18" s="37" t="s">
        <v>54</v>
      </c>
      <c r="C18" s="49">
        <v>883</v>
      </c>
      <c r="D18" s="49">
        <v>92</v>
      </c>
      <c r="E18" s="49">
        <v>51</v>
      </c>
    </row>
    <row r="19" spans="2:5" x14ac:dyDescent="0.2">
      <c r="B19" s="38" t="s">
        <v>55</v>
      </c>
      <c r="C19" s="50">
        <v>883</v>
      </c>
      <c r="D19" s="50">
        <v>92</v>
      </c>
      <c r="E19" s="50">
        <v>51</v>
      </c>
    </row>
    <row r="20" spans="2:5" x14ac:dyDescent="0.2">
      <c r="B20" s="37" t="s">
        <v>17</v>
      </c>
      <c r="C20" s="49">
        <v>967</v>
      </c>
      <c r="D20" s="49">
        <v>180</v>
      </c>
      <c r="E20" s="49">
        <v>83</v>
      </c>
    </row>
    <row r="21" spans="2:5" x14ac:dyDescent="0.2">
      <c r="B21" s="38" t="s">
        <v>18</v>
      </c>
      <c r="C21" s="50">
        <v>362</v>
      </c>
      <c r="D21" s="50">
        <v>96</v>
      </c>
      <c r="E21" s="50">
        <v>34</v>
      </c>
    </row>
    <row r="22" spans="2:5" x14ac:dyDescent="0.2">
      <c r="B22" s="38" t="s">
        <v>19</v>
      </c>
      <c r="C22" s="50">
        <v>236</v>
      </c>
      <c r="D22" s="50">
        <v>32</v>
      </c>
      <c r="E22" s="50">
        <v>17</v>
      </c>
    </row>
    <row r="23" spans="2:5" x14ac:dyDescent="0.2">
      <c r="B23" s="38" t="s">
        <v>20</v>
      </c>
      <c r="C23" s="50">
        <v>161</v>
      </c>
      <c r="D23" s="50">
        <v>12</v>
      </c>
      <c r="E23" s="51" t="s">
        <v>66</v>
      </c>
    </row>
    <row r="24" spans="2:5" x14ac:dyDescent="0.2">
      <c r="B24" s="38" t="s">
        <v>21</v>
      </c>
      <c r="C24" s="50">
        <v>208</v>
      </c>
      <c r="D24" s="50">
        <v>40</v>
      </c>
      <c r="E24" s="50">
        <v>25</v>
      </c>
    </row>
    <row r="25" spans="2:5" x14ac:dyDescent="0.2">
      <c r="B25" s="37" t="s">
        <v>22</v>
      </c>
      <c r="C25" s="49">
        <v>2924</v>
      </c>
      <c r="D25" s="49">
        <v>289</v>
      </c>
      <c r="E25" s="49">
        <v>155</v>
      </c>
    </row>
    <row r="26" spans="2:5" x14ac:dyDescent="0.2">
      <c r="B26" s="38" t="s">
        <v>59</v>
      </c>
      <c r="C26" s="50">
        <v>322</v>
      </c>
      <c r="D26" s="50">
        <v>45</v>
      </c>
      <c r="E26" s="50">
        <v>28</v>
      </c>
    </row>
    <row r="27" spans="2:5" x14ac:dyDescent="0.2">
      <c r="B27" s="38" t="s">
        <v>60</v>
      </c>
      <c r="C27" s="50">
        <v>859</v>
      </c>
      <c r="D27" s="50">
        <v>79</v>
      </c>
      <c r="E27" s="50">
        <v>48</v>
      </c>
    </row>
    <row r="28" spans="2:5" x14ac:dyDescent="0.2">
      <c r="B28" s="38" t="s">
        <v>61</v>
      </c>
      <c r="C28" s="50">
        <v>403</v>
      </c>
      <c r="D28" s="50">
        <v>43</v>
      </c>
      <c r="E28" s="50">
        <v>18</v>
      </c>
    </row>
    <row r="29" spans="2:5" x14ac:dyDescent="0.2">
      <c r="B29" s="38" t="s">
        <v>56</v>
      </c>
      <c r="C29" s="50">
        <v>1075</v>
      </c>
      <c r="D29" s="50">
        <v>72</v>
      </c>
      <c r="E29" s="50">
        <v>35</v>
      </c>
    </row>
    <row r="30" spans="2:5" x14ac:dyDescent="0.2">
      <c r="B30" s="38" t="s">
        <v>26</v>
      </c>
      <c r="C30" s="50">
        <v>265</v>
      </c>
      <c r="D30" s="50">
        <v>50</v>
      </c>
      <c r="E30" s="50">
        <v>26</v>
      </c>
    </row>
    <row r="31" spans="2:5" x14ac:dyDescent="0.2">
      <c r="B31" s="37" t="s">
        <v>27</v>
      </c>
      <c r="C31" s="49">
        <v>739</v>
      </c>
      <c r="D31" s="49">
        <v>198</v>
      </c>
      <c r="E31" s="49">
        <v>73</v>
      </c>
    </row>
    <row r="32" spans="2:5" x14ac:dyDescent="0.2">
      <c r="B32" s="38" t="s">
        <v>28</v>
      </c>
      <c r="C32" s="50">
        <v>458</v>
      </c>
      <c r="D32" s="50">
        <v>139</v>
      </c>
      <c r="E32" s="50">
        <v>46</v>
      </c>
    </row>
    <row r="33" spans="2:5" x14ac:dyDescent="0.2">
      <c r="B33" s="38" t="s">
        <v>29</v>
      </c>
      <c r="C33" s="50">
        <v>281</v>
      </c>
      <c r="D33" s="50">
        <v>59</v>
      </c>
      <c r="E33" s="50">
        <v>27</v>
      </c>
    </row>
    <row r="34" spans="2:5" x14ac:dyDescent="0.2">
      <c r="B34" s="37" t="s">
        <v>30</v>
      </c>
      <c r="C34" s="49">
        <v>850</v>
      </c>
      <c r="D34" s="49">
        <v>95</v>
      </c>
      <c r="E34" s="49">
        <v>48</v>
      </c>
    </row>
    <row r="35" spans="2:5" x14ac:dyDescent="0.2">
      <c r="B35" s="38" t="s">
        <v>31</v>
      </c>
      <c r="C35" s="50">
        <v>850</v>
      </c>
      <c r="D35" s="50">
        <v>95</v>
      </c>
      <c r="E35" s="50">
        <v>48</v>
      </c>
    </row>
    <row r="36" spans="2:5" x14ac:dyDescent="0.2">
      <c r="B36" s="39" t="s">
        <v>78</v>
      </c>
      <c r="C36" s="49">
        <v>315</v>
      </c>
      <c r="D36" s="49">
        <v>84</v>
      </c>
      <c r="E36" s="49">
        <v>32</v>
      </c>
    </row>
    <row r="37" spans="2:5" x14ac:dyDescent="0.2">
      <c r="B37" s="52" t="s">
        <v>77</v>
      </c>
      <c r="C37" s="50">
        <v>121</v>
      </c>
      <c r="D37" s="50">
        <v>31</v>
      </c>
      <c r="E37" s="50">
        <v>15</v>
      </c>
    </row>
    <row r="38" spans="2:5" x14ac:dyDescent="0.2">
      <c r="B38" s="52" t="s">
        <v>76</v>
      </c>
      <c r="C38" s="50">
        <v>194</v>
      </c>
      <c r="D38" s="50">
        <v>53</v>
      </c>
      <c r="E38" s="50">
        <v>17</v>
      </c>
    </row>
    <row r="39" spans="2:5" x14ac:dyDescent="0.2">
      <c r="B39" s="39" t="s">
        <v>32</v>
      </c>
      <c r="C39" s="49">
        <v>2701</v>
      </c>
      <c r="D39" s="49">
        <v>353</v>
      </c>
      <c r="E39" s="49">
        <v>179</v>
      </c>
    </row>
    <row r="40" spans="2:5" x14ac:dyDescent="0.2">
      <c r="B40" s="52" t="s">
        <v>33</v>
      </c>
      <c r="C40" s="50">
        <v>2701</v>
      </c>
      <c r="D40" s="50">
        <v>353</v>
      </c>
      <c r="E40" s="50">
        <v>179</v>
      </c>
    </row>
    <row r="41" spans="2:5" x14ac:dyDescent="0.2">
      <c r="B41" s="39" t="s">
        <v>34</v>
      </c>
      <c r="C41" s="49">
        <v>2314</v>
      </c>
      <c r="D41" s="49">
        <v>225</v>
      </c>
      <c r="E41" s="49">
        <v>147</v>
      </c>
    </row>
    <row r="42" spans="2:5" x14ac:dyDescent="0.2">
      <c r="B42" s="52" t="s">
        <v>35</v>
      </c>
      <c r="C42" s="50">
        <v>2314</v>
      </c>
      <c r="D42" s="50">
        <v>225</v>
      </c>
      <c r="E42" s="50">
        <v>147</v>
      </c>
    </row>
    <row r="43" spans="2:5" ht="13" customHeight="1" x14ac:dyDescent="0.2">
      <c r="B43" s="39" t="s">
        <v>36</v>
      </c>
      <c r="C43" s="49">
        <v>1404</v>
      </c>
      <c r="D43" s="49">
        <v>223</v>
      </c>
      <c r="E43" s="49">
        <v>166</v>
      </c>
    </row>
    <row r="44" spans="2:5" x14ac:dyDescent="0.2">
      <c r="B44" s="52" t="s">
        <v>62</v>
      </c>
      <c r="C44" s="50">
        <v>414</v>
      </c>
      <c r="D44" s="50">
        <v>53</v>
      </c>
      <c r="E44" s="50">
        <v>40</v>
      </c>
    </row>
    <row r="45" spans="2:5" x14ac:dyDescent="0.2">
      <c r="B45" s="52" t="s">
        <v>37</v>
      </c>
      <c r="C45" s="50">
        <v>604</v>
      </c>
      <c r="D45" s="50">
        <v>98</v>
      </c>
      <c r="E45" s="50">
        <v>81</v>
      </c>
    </row>
    <row r="46" spans="2:5" x14ac:dyDescent="0.2">
      <c r="B46" s="52" t="s">
        <v>38</v>
      </c>
      <c r="C46" s="50">
        <v>386</v>
      </c>
      <c r="D46" s="50">
        <v>72</v>
      </c>
      <c r="E46" s="50">
        <v>45</v>
      </c>
    </row>
    <row r="47" spans="2:5" x14ac:dyDescent="0.2">
      <c r="B47" s="45" t="s">
        <v>63</v>
      </c>
      <c r="C47" s="49">
        <v>1537</v>
      </c>
      <c r="D47" s="49">
        <v>193</v>
      </c>
      <c r="E47" s="49">
        <v>88</v>
      </c>
    </row>
    <row r="48" spans="2:5" x14ac:dyDescent="0.2">
      <c r="B48" s="48" t="s">
        <v>39</v>
      </c>
      <c r="C48" s="50">
        <v>289</v>
      </c>
      <c r="D48" s="50">
        <v>47</v>
      </c>
      <c r="E48" s="50">
        <v>32</v>
      </c>
    </row>
    <row r="49" spans="2:5" x14ac:dyDescent="0.2">
      <c r="B49" s="48" t="s">
        <v>40</v>
      </c>
      <c r="C49" s="50">
        <v>142</v>
      </c>
      <c r="D49" s="50">
        <v>44</v>
      </c>
      <c r="E49" s="50">
        <v>20</v>
      </c>
    </row>
    <row r="50" spans="2:5" x14ac:dyDescent="0.2">
      <c r="B50" s="48" t="s">
        <v>57</v>
      </c>
      <c r="C50" s="50">
        <v>1106</v>
      </c>
      <c r="D50" s="50">
        <v>102</v>
      </c>
      <c r="E50" s="50">
        <v>36</v>
      </c>
    </row>
    <row r="51" spans="2:5" x14ac:dyDescent="0.2">
      <c r="B51" s="56" t="s">
        <v>67</v>
      </c>
      <c r="C51" s="57">
        <v>675</v>
      </c>
      <c r="D51" s="57">
        <v>111</v>
      </c>
      <c r="E51" s="57">
        <v>42</v>
      </c>
    </row>
    <row r="52" spans="2:5" x14ac:dyDescent="0.2">
      <c r="B52" s="55" t="s">
        <v>75</v>
      </c>
      <c r="C52" s="41">
        <v>675</v>
      </c>
      <c r="D52" s="41">
        <v>111</v>
      </c>
      <c r="E52" s="41">
        <v>42</v>
      </c>
    </row>
    <row r="53" spans="2:5" x14ac:dyDescent="0.2">
      <c r="B53" s="45" t="s">
        <v>41</v>
      </c>
      <c r="C53" s="49">
        <v>916</v>
      </c>
      <c r="D53" s="49">
        <v>89</v>
      </c>
      <c r="E53" s="49">
        <v>47</v>
      </c>
    </row>
    <row r="54" spans="2:5" x14ac:dyDescent="0.2">
      <c r="B54" s="48" t="s">
        <v>83</v>
      </c>
      <c r="C54" s="50">
        <v>247</v>
      </c>
      <c r="D54" s="50">
        <v>36</v>
      </c>
      <c r="E54" s="50">
        <v>15</v>
      </c>
    </row>
    <row r="55" spans="2:5" x14ac:dyDescent="0.2">
      <c r="B55" s="48" t="s">
        <v>64</v>
      </c>
      <c r="C55" s="50">
        <v>261</v>
      </c>
      <c r="D55" s="50">
        <v>25</v>
      </c>
      <c r="E55" s="50">
        <v>14</v>
      </c>
    </row>
    <row r="56" spans="2:5" x14ac:dyDescent="0.2">
      <c r="B56" s="54" t="s">
        <v>73</v>
      </c>
      <c r="C56" s="50">
        <v>408</v>
      </c>
      <c r="D56" s="50">
        <v>28</v>
      </c>
      <c r="E56" s="50">
        <v>18</v>
      </c>
    </row>
    <row r="57" spans="2:5" x14ac:dyDescent="0.2">
      <c r="B57" s="45" t="s">
        <v>47</v>
      </c>
      <c r="C57" s="49">
        <v>528</v>
      </c>
      <c r="D57" s="49">
        <v>108</v>
      </c>
      <c r="E57" s="49">
        <v>52</v>
      </c>
    </row>
    <row r="58" spans="2:5" x14ac:dyDescent="0.2">
      <c r="B58" s="48" t="s">
        <v>48</v>
      </c>
      <c r="C58" s="50">
        <v>528</v>
      </c>
      <c r="D58" s="50">
        <v>108</v>
      </c>
      <c r="E58" s="50">
        <v>52</v>
      </c>
    </row>
    <row r="59" spans="2:5" x14ac:dyDescent="0.2">
      <c r="B59" s="45" t="s">
        <v>49</v>
      </c>
      <c r="C59" s="49">
        <v>1513</v>
      </c>
      <c r="D59" s="49">
        <v>236</v>
      </c>
      <c r="E59" s="49">
        <v>154</v>
      </c>
    </row>
    <row r="60" spans="2:5" x14ac:dyDescent="0.2">
      <c r="B60" s="48" t="s">
        <v>50</v>
      </c>
      <c r="C60" s="50">
        <v>481</v>
      </c>
      <c r="D60" s="50">
        <v>117</v>
      </c>
      <c r="E60" s="50">
        <v>81</v>
      </c>
    </row>
    <row r="61" spans="2:5" x14ac:dyDescent="0.2">
      <c r="B61" s="52" t="s">
        <v>65</v>
      </c>
      <c r="C61" s="50">
        <v>571</v>
      </c>
      <c r="D61" s="50">
        <v>73</v>
      </c>
      <c r="E61" s="50">
        <v>51</v>
      </c>
    </row>
    <row r="62" spans="2:5" x14ac:dyDescent="0.2">
      <c r="B62" s="53" t="s">
        <v>53</v>
      </c>
      <c r="C62" s="46">
        <f>SUM(C60:C61,C58,C42,C54:C56,C48:C50,C44:C46,C40,C37:C38,C35,C32:C33,C26:C30,C21:C24,C19,C15:C17,C10:C13,C6:C8,C4,C52)</f>
        <v>25717</v>
      </c>
      <c r="D62" s="46">
        <f>SUM(D60:D61,D58,D42,D54:D56,D48:D50,D44:D46,D40,D37:D38,D35,D32:D33,D26:D30,D21:D24,D19,D15:D17,D10:D13,D6:D8,D4,D52)</f>
        <v>3158</v>
      </c>
      <c r="E62" s="46">
        <f>SUM(E60:E61,E58,E42,E54:E56,E48:E50,E44:E46,E40,E37:E38,E35,E32:E33,E26:E30,E21:E24,E19,E15:E17,E10:E13,E6:E8,E4,E52)</f>
        <v>1746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DAB4C-4973-144F-B9FC-08EFE36CA017}">
  <dimension ref="A1:E507"/>
  <sheetViews>
    <sheetView showGridLines="0" topLeftCell="A27" zoomScale="150" workbookViewId="0">
      <selection activeCell="H73" sqref="H73"/>
    </sheetView>
  </sheetViews>
  <sheetFormatPr baseColWidth="10" defaultColWidth="8.83203125" defaultRowHeight="14.25" customHeight="1" x14ac:dyDescent="0.2"/>
  <cols>
    <col min="1" max="1" width="51.1640625" style="15" customWidth="1"/>
    <col min="2" max="2" width="12.5" style="15" customWidth="1"/>
    <col min="3" max="3" width="6.6640625" style="15" customWidth="1"/>
    <col min="4" max="4" width="13.1640625" style="15" customWidth="1"/>
    <col min="5" max="6" width="8.83203125" style="15" customWidth="1"/>
    <col min="7" max="16384" width="8.83203125" style="15"/>
  </cols>
  <sheetData>
    <row r="1" spans="1:5" ht="15.75" customHeight="1" x14ac:dyDescent="0.2">
      <c r="A1" s="18" t="s">
        <v>81</v>
      </c>
      <c r="B1" s="19" t="s">
        <v>0</v>
      </c>
      <c r="C1" s="19" t="s">
        <v>1</v>
      </c>
      <c r="D1" s="19" t="s">
        <v>58</v>
      </c>
      <c r="E1" s="17"/>
    </row>
    <row r="2" spans="1:5" ht="13.5" customHeight="1" x14ac:dyDescent="0.2">
      <c r="A2" s="20" t="s">
        <v>80</v>
      </c>
      <c r="B2" s="21">
        <v>26184</v>
      </c>
      <c r="C2" s="22">
        <v>3204</v>
      </c>
      <c r="D2" s="22">
        <v>1775</v>
      </c>
      <c r="E2" s="16"/>
    </row>
    <row r="3" spans="1:5" ht="13.5" customHeight="1" x14ac:dyDescent="0.2">
      <c r="A3" s="20" t="s">
        <v>3</v>
      </c>
      <c r="B3" s="21">
        <v>1895</v>
      </c>
      <c r="C3" s="22">
        <v>175</v>
      </c>
      <c r="D3" s="22">
        <v>118</v>
      </c>
      <c r="E3" s="16"/>
    </row>
    <row r="4" spans="1:5" ht="13.5" customHeight="1" x14ac:dyDescent="0.2">
      <c r="A4" s="28" t="s">
        <v>4</v>
      </c>
      <c r="B4" s="22">
        <v>1895</v>
      </c>
      <c r="C4" s="22">
        <v>175</v>
      </c>
      <c r="D4" s="22">
        <v>118</v>
      </c>
      <c r="E4" s="16"/>
    </row>
    <row r="5" spans="1:5" ht="13.5" customHeight="1" x14ac:dyDescent="0.2">
      <c r="A5" s="20" t="s">
        <v>5</v>
      </c>
      <c r="B5" s="21">
        <v>612</v>
      </c>
      <c r="C5" s="22">
        <v>158</v>
      </c>
      <c r="D5" s="22">
        <v>65</v>
      </c>
      <c r="E5" s="16"/>
    </row>
    <row r="6" spans="1:5" ht="13.5" customHeight="1" x14ac:dyDescent="0.2">
      <c r="A6" s="24" t="s">
        <v>6</v>
      </c>
      <c r="B6" s="22">
        <v>251</v>
      </c>
      <c r="C6" s="22">
        <v>28</v>
      </c>
      <c r="D6" s="22">
        <v>22</v>
      </c>
      <c r="E6" s="16"/>
    </row>
    <row r="7" spans="1:5" ht="13.5" customHeight="1" x14ac:dyDescent="0.2">
      <c r="A7" s="27" t="s">
        <v>7</v>
      </c>
      <c r="B7" s="22">
        <v>204</v>
      </c>
      <c r="C7" s="22">
        <v>80</v>
      </c>
      <c r="D7" s="22">
        <v>25</v>
      </c>
      <c r="E7" s="16"/>
    </row>
    <row r="8" spans="1:5" ht="13.5" customHeight="1" x14ac:dyDescent="0.2">
      <c r="A8" s="25" t="s">
        <v>8</v>
      </c>
      <c r="B8" s="22">
        <v>157</v>
      </c>
      <c r="C8" s="22">
        <v>50</v>
      </c>
      <c r="D8" s="22">
        <v>18</v>
      </c>
      <c r="E8" s="16"/>
    </row>
    <row r="9" spans="1:5" ht="13.5" customHeight="1" x14ac:dyDescent="0.2">
      <c r="A9" s="20" t="s">
        <v>9</v>
      </c>
      <c r="B9" s="21">
        <v>1016</v>
      </c>
      <c r="C9" s="22">
        <v>90</v>
      </c>
      <c r="D9" s="22">
        <v>71</v>
      </c>
      <c r="E9" s="16"/>
    </row>
    <row r="10" spans="1:5" ht="13.5" customHeight="1" x14ac:dyDescent="0.2">
      <c r="A10" s="24" t="s">
        <v>10</v>
      </c>
      <c r="B10" s="22">
        <v>352</v>
      </c>
      <c r="C10" s="22">
        <v>44</v>
      </c>
      <c r="D10" s="22">
        <v>35</v>
      </c>
      <c r="E10" s="16"/>
    </row>
    <row r="11" spans="1:5" ht="13.5" customHeight="1" x14ac:dyDescent="0.2">
      <c r="A11" s="27" t="s">
        <v>79</v>
      </c>
      <c r="B11" s="22">
        <v>80</v>
      </c>
      <c r="C11" s="22">
        <v>14</v>
      </c>
      <c r="D11" s="22">
        <v>12</v>
      </c>
      <c r="E11" s="16"/>
    </row>
    <row r="12" spans="1:5" ht="13.5" customHeight="1" x14ac:dyDescent="0.2">
      <c r="A12" s="27" t="s">
        <v>11</v>
      </c>
      <c r="B12" s="22">
        <v>17</v>
      </c>
      <c r="C12" s="23" t="s">
        <v>66</v>
      </c>
      <c r="D12" s="23" t="s">
        <v>66</v>
      </c>
      <c r="E12" s="16"/>
    </row>
    <row r="13" spans="1:5" ht="13.5" customHeight="1" x14ac:dyDescent="0.2">
      <c r="A13" s="25" t="s">
        <v>12</v>
      </c>
      <c r="B13" s="22">
        <v>567</v>
      </c>
      <c r="C13" s="22">
        <v>32</v>
      </c>
      <c r="D13" s="22">
        <v>24</v>
      </c>
      <c r="E13" s="16"/>
    </row>
    <row r="14" spans="1:5" ht="13.5" customHeight="1" x14ac:dyDescent="0.2">
      <c r="A14" s="20" t="s">
        <v>13</v>
      </c>
      <c r="B14" s="21">
        <v>4395</v>
      </c>
      <c r="C14" s="22">
        <v>305</v>
      </c>
      <c r="D14" s="22">
        <v>204</v>
      </c>
      <c r="E14" s="16"/>
    </row>
    <row r="15" spans="1:5" ht="13.5" customHeight="1" x14ac:dyDescent="0.2">
      <c r="A15" s="24" t="s">
        <v>14</v>
      </c>
      <c r="B15" s="22">
        <v>261</v>
      </c>
      <c r="C15" s="23" t="s">
        <v>66</v>
      </c>
      <c r="D15" s="23" t="s">
        <v>66</v>
      </c>
      <c r="E15" s="16"/>
    </row>
    <row r="16" spans="1:5" ht="13.5" customHeight="1" x14ac:dyDescent="0.2">
      <c r="A16" s="27" t="s">
        <v>15</v>
      </c>
      <c r="B16" s="22">
        <v>4128</v>
      </c>
      <c r="C16" s="22">
        <v>305</v>
      </c>
      <c r="D16" s="22">
        <v>204</v>
      </c>
      <c r="E16" s="16"/>
    </row>
    <row r="17" spans="1:5" ht="13.5" customHeight="1" x14ac:dyDescent="0.2">
      <c r="A17" s="25" t="s">
        <v>16</v>
      </c>
      <c r="B17" s="23" t="s">
        <v>66</v>
      </c>
      <c r="C17" s="23" t="s">
        <v>66</v>
      </c>
      <c r="D17" s="23" t="s">
        <v>66</v>
      </c>
      <c r="E17" s="16"/>
    </row>
    <row r="18" spans="1:5" ht="13.5" customHeight="1" x14ac:dyDescent="0.2">
      <c r="A18" s="20" t="s">
        <v>54</v>
      </c>
      <c r="B18" s="21">
        <v>883</v>
      </c>
      <c r="C18" s="22">
        <v>92</v>
      </c>
      <c r="D18" s="22">
        <v>51</v>
      </c>
      <c r="E18" s="16"/>
    </row>
    <row r="19" spans="1:5" ht="13.5" customHeight="1" x14ac:dyDescent="0.2">
      <c r="A19" s="28" t="s">
        <v>55</v>
      </c>
      <c r="B19" s="22">
        <v>883</v>
      </c>
      <c r="C19" s="22">
        <v>92</v>
      </c>
      <c r="D19" s="22">
        <v>51</v>
      </c>
      <c r="E19" s="16"/>
    </row>
    <row r="20" spans="1:5" ht="13.5" customHeight="1" x14ac:dyDescent="0.2">
      <c r="A20" s="20" t="s">
        <v>17</v>
      </c>
      <c r="B20" s="21">
        <v>967</v>
      </c>
      <c r="C20" s="22">
        <v>180</v>
      </c>
      <c r="D20" s="22">
        <v>83</v>
      </c>
      <c r="E20" s="16"/>
    </row>
    <row r="21" spans="1:5" ht="13.5" customHeight="1" x14ac:dyDescent="0.2">
      <c r="A21" s="24" t="s">
        <v>18</v>
      </c>
      <c r="B21" s="22">
        <v>362</v>
      </c>
      <c r="C21" s="22">
        <v>96</v>
      </c>
      <c r="D21" s="22">
        <v>34</v>
      </c>
      <c r="E21" s="16"/>
    </row>
    <row r="22" spans="1:5" ht="13.5" customHeight="1" x14ac:dyDescent="0.2">
      <c r="A22" s="27" t="s">
        <v>19</v>
      </c>
      <c r="B22" s="22">
        <v>236</v>
      </c>
      <c r="C22" s="22">
        <v>32</v>
      </c>
      <c r="D22" s="22">
        <v>17</v>
      </c>
      <c r="E22" s="16"/>
    </row>
    <row r="23" spans="1:5" ht="13.5" customHeight="1" x14ac:dyDescent="0.2">
      <c r="A23" s="27" t="s">
        <v>20</v>
      </c>
      <c r="B23" s="22">
        <v>161</v>
      </c>
      <c r="C23" s="22">
        <v>12</v>
      </c>
      <c r="D23" s="23" t="s">
        <v>66</v>
      </c>
      <c r="E23" s="16"/>
    </row>
    <row r="24" spans="1:5" ht="13.5" customHeight="1" x14ac:dyDescent="0.2">
      <c r="A24" s="25" t="s">
        <v>21</v>
      </c>
      <c r="B24" s="22">
        <v>208</v>
      </c>
      <c r="C24" s="22">
        <v>40</v>
      </c>
      <c r="D24" s="22">
        <v>25</v>
      </c>
      <c r="E24" s="16"/>
    </row>
    <row r="25" spans="1:5" ht="13.5" customHeight="1" x14ac:dyDescent="0.2">
      <c r="A25" s="20" t="s">
        <v>22</v>
      </c>
      <c r="B25" s="21">
        <v>2924</v>
      </c>
      <c r="C25" s="22">
        <v>289</v>
      </c>
      <c r="D25" s="22">
        <v>155</v>
      </c>
      <c r="E25" s="16"/>
    </row>
    <row r="26" spans="1:5" ht="13.5" customHeight="1" x14ac:dyDescent="0.2">
      <c r="A26" s="24" t="s">
        <v>59</v>
      </c>
      <c r="B26" s="22">
        <v>322</v>
      </c>
      <c r="C26" s="22">
        <v>45</v>
      </c>
      <c r="D26" s="22">
        <v>28</v>
      </c>
      <c r="E26" s="16"/>
    </row>
    <row r="27" spans="1:5" ht="13.5" customHeight="1" x14ac:dyDescent="0.2">
      <c r="A27" s="27" t="s">
        <v>60</v>
      </c>
      <c r="B27" s="22">
        <v>859</v>
      </c>
      <c r="C27" s="22">
        <v>79</v>
      </c>
      <c r="D27" s="22">
        <v>48</v>
      </c>
      <c r="E27" s="16"/>
    </row>
    <row r="28" spans="1:5" ht="13.5" customHeight="1" x14ac:dyDescent="0.2">
      <c r="A28" s="27" t="s">
        <v>61</v>
      </c>
      <c r="B28" s="22">
        <v>403</v>
      </c>
      <c r="C28" s="22">
        <v>43</v>
      </c>
      <c r="D28" s="22">
        <v>18</v>
      </c>
      <c r="E28" s="16"/>
    </row>
    <row r="29" spans="1:5" ht="13.5" customHeight="1" x14ac:dyDescent="0.2">
      <c r="A29" s="27" t="s">
        <v>56</v>
      </c>
      <c r="B29" s="22">
        <v>1075</v>
      </c>
      <c r="C29" s="22">
        <v>72</v>
      </c>
      <c r="D29" s="22">
        <v>35</v>
      </c>
      <c r="E29" s="16"/>
    </row>
    <row r="30" spans="1:5" ht="13.5" customHeight="1" x14ac:dyDescent="0.2">
      <c r="A30" s="25" t="s">
        <v>26</v>
      </c>
      <c r="B30" s="22">
        <v>265</v>
      </c>
      <c r="C30" s="22">
        <v>50</v>
      </c>
      <c r="D30" s="22">
        <v>26</v>
      </c>
      <c r="E30" s="16"/>
    </row>
    <row r="31" spans="1:5" ht="13.5" customHeight="1" x14ac:dyDescent="0.2">
      <c r="A31" s="20" t="s">
        <v>27</v>
      </c>
      <c r="B31" s="21">
        <v>739</v>
      </c>
      <c r="C31" s="22">
        <v>198</v>
      </c>
      <c r="D31" s="22">
        <v>73</v>
      </c>
      <c r="E31" s="16"/>
    </row>
    <row r="32" spans="1:5" ht="13.5" customHeight="1" x14ac:dyDescent="0.2">
      <c r="A32" s="24" t="s">
        <v>28</v>
      </c>
      <c r="B32" s="22">
        <v>458</v>
      </c>
      <c r="C32" s="22">
        <v>139</v>
      </c>
      <c r="D32" s="22">
        <v>46</v>
      </c>
      <c r="E32" s="16"/>
    </row>
    <row r="33" spans="1:5" ht="13.5" customHeight="1" x14ac:dyDescent="0.2">
      <c r="A33" s="25" t="s">
        <v>29</v>
      </c>
      <c r="B33" s="22">
        <v>281</v>
      </c>
      <c r="C33" s="22">
        <v>59</v>
      </c>
      <c r="D33" s="22">
        <v>27</v>
      </c>
      <c r="E33" s="16"/>
    </row>
    <row r="34" spans="1:5" ht="13.5" customHeight="1" x14ac:dyDescent="0.2">
      <c r="A34" s="20" t="s">
        <v>30</v>
      </c>
      <c r="B34" s="21">
        <v>850</v>
      </c>
      <c r="C34" s="22">
        <v>95</v>
      </c>
      <c r="D34" s="22">
        <v>48</v>
      </c>
      <c r="E34" s="16"/>
    </row>
    <row r="35" spans="1:5" ht="13.5" customHeight="1" x14ac:dyDescent="0.2">
      <c r="A35" s="28" t="s">
        <v>31</v>
      </c>
      <c r="B35" s="22">
        <v>850</v>
      </c>
      <c r="C35" s="22">
        <v>95</v>
      </c>
      <c r="D35" s="22">
        <v>48</v>
      </c>
      <c r="E35" s="16"/>
    </row>
    <row r="36" spans="1:5" ht="13.5" customHeight="1" x14ac:dyDescent="0.2">
      <c r="A36" s="20" t="s">
        <v>78</v>
      </c>
      <c r="B36" s="21">
        <v>315</v>
      </c>
      <c r="C36" s="22">
        <v>84</v>
      </c>
      <c r="D36" s="22">
        <v>32</v>
      </c>
      <c r="E36" s="16"/>
    </row>
    <row r="37" spans="1:5" ht="13.5" customHeight="1" x14ac:dyDescent="0.2">
      <c r="A37" s="24" t="s">
        <v>77</v>
      </c>
      <c r="B37" s="22">
        <v>121</v>
      </c>
      <c r="C37" s="22">
        <v>31</v>
      </c>
      <c r="D37" s="22">
        <v>15</v>
      </c>
      <c r="E37" s="16"/>
    </row>
    <row r="38" spans="1:5" ht="13.5" customHeight="1" x14ac:dyDescent="0.2">
      <c r="A38" s="25" t="s">
        <v>76</v>
      </c>
      <c r="B38" s="22">
        <v>194</v>
      </c>
      <c r="C38" s="22">
        <v>53</v>
      </c>
      <c r="D38" s="22">
        <v>17</v>
      </c>
      <c r="E38" s="16"/>
    </row>
    <row r="39" spans="1:5" ht="13.5" customHeight="1" x14ac:dyDescent="0.2">
      <c r="A39" s="20" t="s">
        <v>69</v>
      </c>
      <c r="B39" s="21">
        <v>2701</v>
      </c>
      <c r="C39" s="22">
        <v>353</v>
      </c>
      <c r="D39" s="22">
        <v>179</v>
      </c>
      <c r="E39" s="16"/>
    </row>
    <row r="40" spans="1:5" ht="13.5" customHeight="1" x14ac:dyDescent="0.2">
      <c r="A40" s="28" t="s">
        <v>33</v>
      </c>
      <c r="B40" s="22">
        <v>2701</v>
      </c>
      <c r="C40" s="22">
        <v>353</v>
      </c>
      <c r="D40" s="22">
        <v>179</v>
      </c>
      <c r="E40" s="16"/>
    </row>
    <row r="41" spans="1:5" ht="13.5" customHeight="1" x14ac:dyDescent="0.2">
      <c r="A41" s="20" t="s">
        <v>34</v>
      </c>
      <c r="B41" s="21">
        <v>2314</v>
      </c>
      <c r="C41" s="22">
        <v>225</v>
      </c>
      <c r="D41" s="22">
        <v>147</v>
      </c>
      <c r="E41" s="16"/>
    </row>
    <row r="42" spans="1:5" ht="13.5" customHeight="1" x14ac:dyDescent="0.2">
      <c r="A42" s="28" t="s">
        <v>35</v>
      </c>
      <c r="B42" s="22">
        <v>2314</v>
      </c>
      <c r="C42" s="22">
        <v>225</v>
      </c>
      <c r="D42" s="22">
        <v>147</v>
      </c>
      <c r="E42" s="16"/>
    </row>
    <row r="43" spans="1:5" ht="13.5" customHeight="1" x14ac:dyDescent="0.2">
      <c r="A43" s="20" t="s">
        <v>36</v>
      </c>
      <c r="B43" s="21">
        <v>1404</v>
      </c>
      <c r="C43" s="22">
        <v>223</v>
      </c>
      <c r="D43" s="22">
        <v>166</v>
      </c>
      <c r="E43" s="16"/>
    </row>
    <row r="44" spans="1:5" ht="13.5" customHeight="1" x14ac:dyDescent="0.2">
      <c r="A44" s="24" t="s">
        <v>62</v>
      </c>
      <c r="B44" s="22">
        <v>414</v>
      </c>
      <c r="C44" s="22">
        <v>53</v>
      </c>
      <c r="D44" s="22">
        <v>40</v>
      </c>
      <c r="E44" s="16"/>
    </row>
    <row r="45" spans="1:5" ht="13.5" customHeight="1" x14ac:dyDescent="0.2">
      <c r="A45" s="27" t="s">
        <v>37</v>
      </c>
      <c r="B45" s="22">
        <v>604</v>
      </c>
      <c r="C45" s="22">
        <v>98</v>
      </c>
      <c r="D45" s="22">
        <v>81</v>
      </c>
      <c r="E45" s="16"/>
    </row>
    <row r="46" spans="1:5" ht="13.5" customHeight="1" x14ac:dyDescent="0.2">
      <c r="A46" s="25" t="s">
        <v>38</v>
      </c>
      <c r="B46" s="22">
        <v>386</v>
      </c>
      <c r="C46" s="22">
        <v>72</v>
      </c>
      <c r="D46" s="22">
        <v>45</v>
      </c>
      <c r="E46" s="16"/>
    </row>
    <row r="47" spans="1:5" ht="13.5" customHeight="1" x14ac:dyDescent="0.2">
      <c r="A47" s="20" t="s">
        <v>68</v>
      </c>
      <c r="B47" s="21">
        <v>1537</v>
      </c>
      <c r="C47" s="22">
        <v>193</v>
      </c>
      <c r="D47" s="22">
        <v>88</v>
      </c>
      <c r="E47" s="16"/>
    </row>
    <row r="48" spans="1:5" ht="13.5" customHeight="1" x14ac:dyDescent="0.2">
      <c r="A48" s="24" t="s">
        <v>39</v>
      </c>
      <c r="B48" s="22">
        <v>289</v>
      </c>
      <c r="C48" s="22">
        <v>47</v>
      </c>
      <c r="D48" s="22">
        <v>32</v>
      </c>
      <c r="E48" s="16"/>
    </row>
    <row r="49" spans="1:5" ht="13.5" customHeight="1" x14ac:dyDescent="0.2">
      <c r="A49" s="27" t="s">
        <v>40</v>
      </c>
      <c r="B49" s="22">
        <v>142</v>
      </c>
      <c r="C49" s="22">
        <v>44</v>
      </c>
      <c r="D49" s="22">
        <v>20</v>
      </c>
      <c r="E49" s="16"/>
    </row>
    <row r="50" spans="1:5" ht="13.5" customHeight="1" x14ac:dyDescent="0.2">
      <c r="A50" s="25" t="s">
        <v>57</v>
      </c>
      <c r="B50" s="22">
        <v>1106</v>
      </c>
      <c r="C50" s="22">
        <v>102</v>
      </c>
      <c r="D50" s="22">
        <v>36</v>
      </c>
      <c r="E50" s="16"/>
    </row>
    <row r="51" spans="1:5" ht="13.5" customHeight="1" x14ac:dyDescent="0.2">
      <c r="A51" s="20" t="s">
        <v>67</v>
      </c>
      <c r="B51" s="21">
        <v>675</v>
      </c>
      <c r="C51" s="22">
        <v>111</v>
      </c>
      <c r="D51" s="22">
        <v>42</v>
      </c>
      <c r="E51" s="16"/>
    </row>
    <row r="52" spans="1:5" ht="13.5" customHeight="1" x14ac:dyDescent="0.2">
      <c r="A52" s="28" t="s">
        <v>75</v>
      </c>
      <c r="B52" s="22">
        <v>675</v>
      </c>
      <c r="C52" s="22">
        <v>111</v>
      </c>
      <c r="D52" s="22">
        <v>42</v>
      </c>
      <c r="E52" s="16"/>
    </row>
    <row r="53" spans="1:5" ht="13.5" customHeight="1" x14ac:dyDescent="0.2">
      <c r="A53" s="20" t="s">
        <v>41</v>
      </c>
      <c r="B53" s="21">
        <v>916</v>
      </c>
      <c r="C53" s="22">
        <v>89</v>
      </c>
      <c r="D53" s="22">
        <v>47</v>
      </c>
      <c r="E53" s="16"/>
    </row>
    <row r="54" spans="1:5" ht="13.5" customHeight="1" x14ac:dyDescent="0.2">
      <c r="A54" s="24" t="s">
        <v>74</v>
      </c>
      <c r="B54" s="22">
        <v>247</v>
      </c>
      <c r="C54" s="22">
        <v>36</v>
      </c>
      <c r="D54" s="22">
        <v>15</v>
      </c>
      <c r="E54" s="16"/>
    </row>
    <row r="55" spans="1:5" ht="13.5" customHeight="1" x14ac:dyDescent="0.2">
      <c r="A55" s="27" t="s">
        <v>64</v>
      </c>
      <c r="B55" s="22">
        <v>261</v>
      </c>
      <c r="C55" s="22">
        <v>25</v>
      </c>
      <c r="D55" s="22">
        <v>14</v>
      </c>
      <c r="E55" s="16"/>
    </row>
    <row r="56" spans="1:5" ht="13.5" customHeight="1" x14ac:dyDescent="0.2">
      <c r="A56" s="25" t="s">
        <v>73</v>
      </c>
      <c r="B56" s="22">
        <v>408</v>
      </c>
      <c r="C56" s="22">
        <v>28</v>
      </c>
      <c r="D56" s="22">
        <v>18</v>
      </c>
      <c r="E56" s="16"/>
    </row>
    <row r="57" spans="1:5" ht="13.5" customHeight="1" x14ac:dyDescent="0.2">
      <c r="A57" s="20" t="s">
        <v>47</v>
      </c>
      <c r="B57" s="21">
        <v>528</v>
      </c>
      <c r="C57" s="22">
        <v>108</v>
      </c>
      <c r="D57" s="22">
        <v>52</v>
      </c>
      <c r="E57" s="16"/>
    </row>
    <row r="58" spans="1:5" ht="13.5" customHeight="1" x14ac:dyDescent="0.2">
      <c r="A58" s="28" t="s">
        <v>48</v>
      </c>
      <c r="B58" s="22">
        <v>528</v>
      </c>
      <c r="C58" s="22">
        <v>108</v>
      </c>
      <c r="D58" s="22">
        <v>52</v>
      </c>
      <c r="E58" s="16"/>
    </row>
    <row r="59" spans="1:5" ht="13.5" customHeight="1" x14ac:dyDescent="0.2">
      <c r="A59" s="20" t="s">
        <v>49</v>
      </c>
      <c r="B59" s="21">
        <v>1513</v>
      </c>
      <c r="C59" s="22">
        <v>236</v>
      </c>
      <c r="D59" s="22">
        <v>154</v>
      </c>
      <c r="E59" s="16"/>
    </row>
    <row r="60" spans="1:5" ht="13.5" customHeight="1" x14ac:dyDescent="0.2">
      <c r="A60" s="24" t="s">
        <v>50</v>
      </c>
      <c r="B60" s="22">
        <v>481</v>
      </c>
      <c r="C60" s="22">
        <v>117</v>
      </c>
      <c r="D60" s="22">
        <v>81</v>
      </c>
      <c r="E60" s="16"/>
    </row>
    <row r="61" spans="1:5" ht="13.5" customHeight="1" x14ac:dyDescent="0.2">
      <c r="A61" s="25" t="s">
        <v>71</v>
      </c>
      <c r="B61" s="22">
        <v>571</v>
      </c>
      <c r="C61" s="22">
        <v>73</v>
      </c>
      <c r="D61" s="22">
        <v>51</v>
      </c>
      <c r="E61" s="16"/>
    </row>
    <row r="62" spans="1:5" ht="13.5" customHeight="1" x14ac:dyDescent="0.2">
      <c r="A62" s="20" t="s">
        <v>70</v>
      </c>
      <c r="B62" s="26" t="s">
        <v>66</v>
      </c>
      <c r="C62" s="23" t="s">
        <v>66</v>
      </c>
      <c r="D62" s="23" t="s">
        <v>66</v>
      </c>
      <c r="E62" s="16"/>
    </row>
    <row r="63" spans="1:5" ht="13.5" customHeight="1" x14ac:dyDescent="0.2">
      <c r="A63" s="20" t="s">
        <v>69</v>
      </c>
      <c r="B63" s="26" t="s">
        <v>66</v>
      </c>
      <c r="C63" s="23" t="s">
        <v>66</v>
      </c>
      <c r="D63" s="23" t="s">
        <v>66</v>
      </c>
      <c r="E63" s="16"/>
    </row>
    <row r="64" spans="1:5" ht="13.5" customHeight="1" x14ac:dyDescent="0.2"/>
    <row r="65" ht="13.5" customHeight="1" x14ac:dyDescent="0.2"/>
    <row r="66" ht="13.5" customHeight="1" x14ac:dyDescent="0.2"/>
    <row r="67" ht="13.5" customHeight="1" x14ac:dyDescent="0.2"/>
    <row r="68" ht="13.5" customHeight="1" x14ac:dyDescent="0.2"/>
    <row r="69" ht="13.5" customHeight="1" x14ac:dyDescent="0.2"/>
    <row r="70" ht="13.5" customHeight="1" x14ac:dyDescent="0.2"/>
    <row r="71" ht="13.5" customHeight="1" x14ac:dyDescent="0.2"/>
    <row r="72" ht="13.5" customHeight="1" x14ac:dyDescent="0.2"/>
    <row r="73" ht="13.5" customHeight="1" x14ac:dyDescent="0.2"/>
    <row r="74" ht="13.5" customHeight="1" x14ac:dyDescent="0.2"/>
    <row r="75" ht="13.5" customHeight="1" x14ac:dyDescent="0.2"/>
    <row r="76" ht="13.5" customHeight="1" x14ac:dyDescent="0.2"/>
    <row r="77" ht="13.5" customHeight="1" x14ac:dyDescent="0.2"/>
    <row r="78" ht="13.5" customHeight="1" x14ac:dyDescent="0.2"/>
    <row r="79" ht="13.5" customHeight="1" x14ac:dyDescent="0.2"/>
    <row r="80" ht="13.5" customHeight="1" x14ac:dyDescent="0.2"/>
    <row r="81" ht="13.5" customHeight="1" x14ac:dyDescent="0.2"/>
    <row r="82" ht="13.5" customHeight="1" x14ac:dyDescent="0.2"/>
    <row r="83" ht="13.5" customHeight="1" x14ac:dyDescent="0.2"/>
    <row r="84" ht="13.5" customHeight="1" x14ac:dyDescent="0.2"/>
    <row r="85" ht="13.5" customHeight="1" x14ac:dyDescent="0.2"/>
    <row r="86" ht="13.5" customHeight="1" x14ac:dyDescent="0.2"/>
    <row r="87" ht="13.5" customHeight="1" x14ac:dyDescent="0.2"/>
    <row r="88" ht="13.5" customHeight="1" x14ac:dyDescent="0.2"/>
    <row r="89" ht="13.5" customHeight="1" x14ac:dyDescent="0.2"/>
    <row r="90" ht="13.5" customHeight="1" x14ac:dyDescent="0.2"/>
    <row r="91" ht="13.5" customHeight="1" x14ac:dyDescent="0.2"/>
    <row r="92" ht="13.5" customHeight="1" x14ac:dyDescent="0.2"/>
    <row r="93" ht="13.5" customHeight="1" x14ac:dyDescent="0.2"/>
    <row r="94" ht="13.5" customHeight="1" x14ac:dyDescent="0.2"/>
    <row r="95" ht="13.5" customHeight="1" x14ac:dyDescent="0.2"/>
    <row r="96" ht="13.5" customHeight="1" x14ac:dyDescent="0.2"/>
    <row r="97" ht="13.5" customHeight="1" x14ac:dyDescent="0.2"/>
    <row r="98" ht="13.5" customHeight="1" x14ac:dyDescent="0.2"/>
    <row r="99" ht="13.5" customHeight="1" x14ac:dyDescent="0.2"/>
    <row r="100" ht="13.5" customHeight="1" x14ac:dyDescent="0.2"/>
    <row r="101" ht="13.5" customHeight="1" x14ac:dyDescent="0.2"/>
    <row r="102" ht="13.5" customHeight="1" x14ac:dyDescent="0.2"/>
    <row r="103" ht="13.5" customHeight="1" x14ac:dyDescent="0.2"/>
    <row r="104" ht="13.5" customHeight="1" x14ac:dyDescent="0.2"/>
    <row r="105" ht="13.5" customHeight="1" x14ac:dyDescent="0.2"/>
    <row r="106" ht="13.5" customHeight="1" x14ac:dyDescent="0.2"/>
    <row r="107" ht="13.5" customHeight="1" x14ac:dyDescent="0.2"/>
    <row r="108" ht="13.5" customHeight="1" x14ac:dyDescent="0.2"/>
    <row r="109" ht="13.5" customHeight="1" x14ac:dyDescent="0.2"/>
    <row r="110" ht="13.5" customHeight="1" x14ac:dyDescent="0.2"/>
    <row r="111" ht="13.5" customHeight="1" x14ac:dyDescent="0.2"/>
    <row r="112" ht="13.5" customHeight="1" x14ac:dyDescent="0.2"/>
    <row r="113" ht="13.5" customHeight="1" x14ac:dyDescent="0.2"/>
    <row r="114" ht="13.5" customHeight="1" x14ac:dyDescent="0.2"/>
    <row r="115" ht="13.5" customHeight="1" x14ac:dyDescent="0.2"/>
    <row r="116" ht="13.5" customHeight="1" x14ac:dyDescent="0.2"/>
    <row r="117" ht="13.5" customHeight="1" x14ac:dyDescent="0.2"/>
    <row r="118" ht="13.5" customHeight="1" x14ac:dyDescent="0.2"/>
    <row r="119" ht="13.5" customHeight="1" x14ac:dyDescent="0.2"/>
    <row r="120" ht="13.5" customHeight="1" x14ac:dyDescent="0.2"/>
    <row r="121" ht="13.5" customHeight="1" x14ac:dyDescent="0.2"/>
    <row r="122" ht="13.5" customHeight="1" x14ac:dyDescent="0.2"/>
    <row r="123" ht="13.5" customHeight="1" x14ac:dyDescent="0.2"/>
    <row r="124" ht="13.5" customHeight="1" x14ac:dyDescent="0.2"/>
    <row r="125" ht="13.5" customHeight="1" x14ac:dyDescent="0.2"/>
    <row r="126" ht="13.5" customHeight="1" x14ac:dyDescent="0.2"/>
    <row r="127" ht="13.5" customHeight="1" x14ac:dyDescent="0.2"/>
    <row r="128" ht="13.5" customHeight="1" x14ac:dyDescent="0.2"/>
    <row r="129" ht="13.5" customHeight="1" x14ac:dyDescent="0.2"/>
    <row r="130" ht="13.5" customHeight="1" x14ac:dyDescent="0.2"/>
    <row r="131" ht="13.5" customHeight="1" x14ac:dyDescent="0.2"/>
    <row r="132" ht="13.5" customHeight="1" x14ac:dyDescent="0.2"/>
    <row r="133" ht="13.5" customHeight="1" x14ac:dyDescent="0.2"/>
    <row r="134" ht="13.5" customHeight="1" x14ac:dyDescent="0.2"/>
    <row r="135" ht="13.5" customHeight="1" x14ac:dyDescent="0.2"/>
    <row r="136" ht="13.5" customHeight="1" x14ac:dyDescent="0.2"/>
    <row r="137" ht="13.5" customHeight="1" x14ac:dyDescent="0.2"/>
    <row r="138" ht="13.5" customHeight="1" x14ac:dyDescent="0.2"/>
    <row r="139" ht="13.5" customHeight="1" x14ac:dyDescent="0.2"/>
    <row r="140" ht="13.5" customHeight="1" x14ac:dyDescent="0.2"/>
    <row r="141" ht="13.5" customHeight="1" x14ac:dyDescent="0.2"/>
    <row r="142" ht="13.5" customHeight="1" x14ac:dyDescent="0.2"/>
    <row r="143" ht="13.5" customHeight="1" x14ac:dyDescent="0.2"/>
    <row r="144" ht="13.5" customHeight="1" x14ac:dyDescent="0.2"/>
    <row r="145" ht="13.5" customHeight="1" x14ac:dyDescent="0.2"/>
    <row r="146" ht="13.5" customHeight="1" x14ac:dyDescent="0.2"/>
    <row r="147" ht="13.5" customHeight="1" x14ac:dyDescent="0.2"/>
    <row r="148" ht="13.5" customHeight="1" x14ac:dyDescent="0.2"/>
    <row r="149" ht="13.5" customHeight="1" x14ac:dyDescent="0.2"/>
    <row r="150" ht="13.5" customHeight="1" x14ac:dyDescent="0.2"/>
    <row r="151" ht="13.5" customHeight="1" x14ac:dyDescent="0.2"/>
    <row r="152" ht="13.5" customHeight="1" x14ac:dyDescent="0.2"/>
    <row r="153" ht="13.5" customHeight="1" x14ac:dyDescent="0.2"/>
    <row r="154" ht="13.5" customHeight="1" x14ac:dyDescent="0.2"/>
    <row r="155" ht="13.5" customHeight="1" x14ac:dyDescent="0.2"/>
    <row r="156" ht="13.5" customHeight="1" x14ac:dyDescent="0.2"/>
    <row r="157" ht="13.5" customHeight="1" x14ac:dyDescent="0.2"/>
    <row r="158" ht="13.5" customHeight="1" x14ac:dyDescent="0.2"/>
    <row r="159" ht="13.5" customHeight="1" x14ac:dyDescent="0.2"/>
    <row r="160" ht="13.5" customHeight="1" x14ac:dyDescent="0.2"/>
    <row r="161" ht="13.5" customHeight="1" x14ac:dyDescent="0.2"/>
    <row r="162" ht="13.5" customHeight="1" x14ac:dyDescent="0.2"/>
    <row r="163" ht="13.5" customHeight="1" x14ac:dyDescent="0.2"/>
    <row r="164" ht="13.5" customHeight="1" x14ac:dyDescent="0.2"/>
    <row r="165" ht="13.5" customHeight="1" x14ac:dyDescent="0.2"/>
    <row r="166" ht="13.5" customHeight="1" x14ac:dyDescent="0.2"/>
    <row r="167" ht="13.5" customHeight="1" x14ac:dyDescent="0.2"/>
    <row r="168" ht="13.5" customHeight="1" x14ac:dyDescent="0.2"/>
    <row r="169" ht="13.5" customHeight="1" x14ac:dyDescent="0.2"/>
    <row r="170" ht="13.5" customHeight="1" x14ac:dyDescent="0.2"/>
    <row r="171" ht="13.5" customHeight="1" x14ac:dyDescent="0.2"/>
    <row r="172" ht="13.5" customHeight="1" x14ac:dyDescent="0.2"/>
    <row r="173" ht="13.5" customHeight="1" x14ac:dyDescent="0.2"/>
    <row r="174" ht="13.5" customHeight="1" x14ac:dyDescent="0.2"/>
    <row r="175" ht="13.5" customHeight="1" x14ac:dyDescent="0.2"/>
    <row r="176" ht="13.5" customHeight="1" x14ac:dyDescent="0.2"/>
    <row r="177" ht="13.5" customHeight="1" x14ac:dyDescent="0.2"/>
    <row r="178" ht="13.5" customHeight="1" x14ac:dyDescent="0.2"/>
    <row r="179" ht="13.5" customHeight="1" x14ac:dyDescent="0.2"/>
    <row r="180" ht="13.5" customHeight="1" x14ac:dyDescent="0.2"/>
    <row r="181" ht="13.5" customHeight="1" x14ac:dyDescent="0.2"/>
    <row r="182" ht="13.5" customHeight="1" x14ac:dyDescent="0.2"/>
    <row r="183" ht="13.5" customHeight="1" x14ac:dyDescent="0.2"/>
    <row r="184" ht="13.5" customHeight="1" x14ac:dyDescent="0.2"/>
    <row r="185" ht="13.5" customHeight="1" x14ac:dyDescent="0.2"/>
    <row r="186" ht="13.5" customHeight="1" x14ac:dyDescent="0.2"/>
    <row r="187" ht="13.5" customHeight="1" x14ac:dyDescent="0.2"/>
    <row r="188" ht="13.5" customHeight="1" x14ac:dyDescent="0.2"/>
    <row r="189" ht="13.5" customHeight="1" x14ac:dyDescent="0.2"/>
    <row r="190" ht="13.5" customHeight="1" x14ac:dyDescent="0.2"/>
    <row r="191" ht="13.5" customHeight="1" x14ac:dyDescent="0.2"/>
    <row r="192" ht="13.5" customHeight="1" x14ac:dyDescent="0.2"/>
    <row r="193" ht="13.5" customHeight="1" x14ac:dyDescent="0.2"/>
    <row r="194" ht="13.5" customHeight="1" x14ac:dyDescent="0.2"/>
    <row r="195" ht="13.5" customHeight="1" x14ac:dyDescent="0.2"/>
    <row r="196" ht="13.5" customHeight="1" x14ac:dyDescent="0.2"/>
    <row r="197" ht="13.5" customHeight="1" x14ac:dyDescent="0.2"/>
    <row r="198" ht="13.5" customHeight="1" x14ac:dyDescent="0.2"/>
    <row r="199" ht="13.5" customHeight="1" x14ac:dyDescent="0.2"/>
    <row r="200" ht="13.5" customHeight="1" x14ac:dyDescent="0.2"/>
    <row r="201" ht="13.5" customHeight="1" x14ac:dyDescent="0.2"/>
    <row r="202" ht="13.5" customHeight="1" x14ac:dyDescent="0.2"/>
    <row r="203" ht="13.5" customHeight="1" x14ac:dyDescent="0.2"/>
    <row r="204" ht="13.5" customHeight="1" x14ac:dyDescent="0.2"/>
    <row r="205" ht="13.5" customHeight="1" x14ac:dyDescent="0.2"/>
    <row r="206" ht="13.5" customHeight="1" x14ac:dyDescent="0.2"/>
    <row r="207" ht="13.5" customHeight="1" x14ac:dyDescent="0.2"/>
    <row r="208" ht="13.5" customHeight="1" x14ac:dyDescent="0.2"/>
    <row r="209" ht="13.5" customHeight="1" x14ac:dyDescent="0.2"/>
    <row r="210" ht="13.5" customHeight="1" x14ac:dyDescent="0.2"/>
    <row r="211" ht="13.5" customHeight="1" x14ac:dyDescent="0.2"/>
    <row r="212" ht="13.5" customHeight="1" x14ac:dyDescent="0.2"/>
    <row r="213" ht="13.5" customHeight="1" x14ac:dyDescent="0.2"/>
    <row r="214" ht="13.5" customHeight="1" x14ac:dyDescent="0.2"/>
    <row r="215" ht="13.5" customHeight="1" x14ac:dyDescent="0.2"/>
    <row r="216" ht="13.5" customHeight="1" x14ac:dyDescent="0.2"/>
    <row r="217" ht="13.5" customHeight="1" x14ac:dyDescent="0.2"/>
    <row r="218" ht="13.5" customHeight="1" x14ac:dyDescent="0.2"/>
    <row r="219" ht="13.5" customHeight="1" x14ac:dyDescent="0.2"/>
    <row r="220" ht="13.5" customHeight="1" x14ac:dyDescent="0.2"/>
    <row r="221" ht="13.5" customHeight="1" x14ac:dyDescent="0.2"/>
    <row r="222" ht="13.5" customHeight="1" x14ac:dyDescent="0.2"/>
    <row r="223" ht="13.5" customHeight="1" x14ac:dyDescent="0.2"/>
    <row r="224" ht="13.5" customHeight="1" x14ac:dyDescent="0.2"/>
    <row r="225" ht="13.5" customHeight="1" x14ac:dyDescent="0.2"/>
    <row r="226" ht="13.5" customHeight="1" x14ac:dyDescent="0.2"/>
    <row r="227" ht="13.5" customHeight="1" x14ac:dyDescent="0.2"/>
    <row r="228" ht="13.5" customHeight="1" x14ac:dyDescent="0.2"/>
    <row r="229" ht="13.5" customHeight="1" x14ac:dyDescent="0.2"/>
    <row r="230" ht="13.5" customHeight="1" x14ac:dyDescent="0.2"/>
    <row r="231" ht="13.5" customHeight="1" x14ac:dyDescent="0.2"/>
    <row r="232" ht="13.5" customHeight="1" x14ac:dyDescent="0.2"/>
    <row r="233" ht="13.5" customHeight="1" x14ac:dyDescent="0.2"/>
    <row r="234" ht="13.5" customHeight="1" x14ac:dyDescent="0.2"/>
    <row r="235" ht="13.5" customHeight="1" x14ac:dyDescent="0.2"/>
    <row r="236" ht="13.5" customHeight="1" x14ac:dyDescent="0.2"/>
    <row r="237" ht="13.5" customHeight="1" x14ac:dyDescent="0.2"/>
    <row r="238" ht="13.5" customHeight="1" x14ac:dyDescent="0.2"/>
    <row r="239" ht="13.5" customHeight="1" x14ac:dyDescent="0.2"/>
    <row r="240" ht="13.5" customHeight="1" x14ac:dyDescent="0.2"/>
    <row r="241" ht="13.5" customHeight="1" x14ac:dyDescent="0.2"/>
    <row r="242" ht="13.5" customHeight="1" x14ac:dyDescent="0.2"/>
    <row r="243" ht="13.5" customHeight="1" x14ac:dyDescent="0.2"/>
    <row r="244" ht="13.5" customHeight="1" x14ac:dyDescent="0.2"/>
    <row r="245" ht="13.5" customHeight="1" x14ac:dyDescent="0.2"/>
    <row r="246" ht="13.5" customHeight="1" x14ac:dyDescent="0.2"/>
    <row r="247" ht="13.5" customHeight="1" x14ac:dyDescent="0.2"/>
    <row r="248" ht="13.5" customHeight="1" x14ac:dyDescent="0.2"/>
    <row r="249" ht="13.5" customHeight="1" x14ac:dyDescent="0.2"/>
    <row r="250" ht="13.5" customHeight="1" x14ac:dyDescent="0.2"/>
    <row r="251" ht="13.5" customHeight="1" x14ac:dyDescent="0.2"/>
    <row r="252" ht="13.5" customHeight="1" x14ac:dyDescent="0.2"/>
    <row r="253" ht="13.5" customHeight="1" x14ac:dyDescent="0.2"/>
    <row r="254" ht="13.5" customHeight="1" x14ac:dyDescent="0.2"/>
    <row r="255" ht="13.5" customHeight="1" x14ac:dyDescent="0.2"/>
    <row r="256" ht="13.5" customHeight="1" x14ac:dyDescent="0.2"/>
    <row r="257" ht="13.5" customHeight="1" x14ac:dyDescent="0.2"/>
    <row r="258" ht="13.5" customHeight="1" x14ac:dyDescent="0.2"/>
    <row r="259" ht="13.5" customHeight="1" x14ac:dyDescent="0.2"/>
    <row r="260" ht="13.5" customHeight="1" x14ac:dyDescent="0.2"/>
    <row r="261" ht="13.5" customHeight="1" x14ac:dyDescent="0.2"/>
    <row r="262" ht="13.5" customHeight="1" x14ac:dyDescent="0.2"/>
    <row r="263" ht="13.5" customHeight="1" x14ac:dyDescent="0.2"/>
    <row r="264" ht="13.5" customHeight="1" x14ac:dyDescent="0.2"/>
    <row r="265" ht="13.5" customHeight="1" x14ac:dyDescent="0.2"/>
    <row r="266" ht="13.5" customHeight="1" x14ac:dyDescent="0.2"/>
    <row r="267" ht="13.5" customHeight="1" x14ac:dyDescent="0.2"/>
    <row r="268" ht="13.5" customHeight="1" x14ac:dyDescent="0.2"/>
    <row r="269" ht="13.5" customHeight="1" x14ac:dyDescent="0.2"/>
    <row r="270" ht="13.5" customHeight="1" x14ac:dyDescent="0.2"/>
    <row r="271" ht="13.5" customHeight="1" x14ac:dyDescent="0.2"/>
    <row r="272" ht="13.5" customHeight="1" x14ac:dyDescent="0.2"/>
    <row r="273" ht="13.5" customHeight="1" x14ac:dyDescent="0.2"/>
    <row r="274" ht="13.5" customHeight="1" x14ac:dyDescent="0.2"/>
    <row r="275" ht="13.5" customHeight="1" x14ac:dyDescent="0.2"/>
    <row r="276" ht="13.5" customHeight="1" x14ac:dyDescent="0.2"/>
    <row r="277" ht="13.5" customHeight="1" x14ac:dyDescent="0.2"/>
    <row r="278" ht="13.5" customHeight="1" x14ac:dyDescent="0.2"/>
    <row r="279" ht="13.5" customHeight="1" x14ac:dyDescent="0.2"/>
    <row r="280" ht="13.5" customHeight="1" x14ac:dyDescent="0.2"/>
    <row r="281" ht="13.5" customHeight="1" x14ac:dyDescent="0.2"/>
    <row r="282" ht="13.5" customHeight="1" x14ac:dyDescent="0.2"/>
    <row r="283" ht="13.5" customHeight="1" x14ac:dyDescent="0.2"/>
    <row r="284" ht="13.5" customHeight="1" x14ac:dyDescent="0.2"/>
    <row r="285" ht="13.5" customHeight="1" x14ac:dyDescent="0.2"/>
    <row r="286" ht="13.5" customHeight="1" x14ac:dyDescent="0.2"/>
    <row r="287" ht="13.5" customHeight="1" x14ac:dyDescent="0.2"/>
    <row r="288" ht="13.5" customHeight="1" x14ac:dyDescent="0.2"/>
    <row r="289" ht="13.5" customHeight="1" x14ac:dyDescent="0.2"/>
    <row r="290" ht="13.5" customHeight="1" x14ac:dyDescent="0.2"/>
    <row r="291" ht="13.5" customHeight="1" x14ac:dyDescent="0.2"/>
    <row r="292" ht="13.5" customHeight="1" x14ac:dyDescent="0.2"/>
    <row r="293" ht="13.5" customHeight="1" x14ac:dyDescent="0.2"/>
    <row r="294" ht="13.5" customHeight="1" x14ac:dyDescent="0.2"/>
    <row r="295" ht="13.5" customHeight="1" x14ac:dyDescent="0.2"/>
    <row r="296" ht="13.5" customHeight="1" x14ac:dyDescent="0.2"/>
    <row r="297" ht="13.5" customHeight="1" x14ac:dyDescent="0.2"/>
    <row r="298" ht="13.5" customHeight="1" x14ac:dyDescent="0.2"/>
    <row r="299" ht="13.5" customHeight="1" x14ac:dyDescent="0.2"/>
    <row r="300" ht="13.5" customHeight="1" x14ac:dyDescent="0.2"/>
    <row r="301" ht="13.5" customHeight="1" x14ac:dyDescent="0.2"/>
    <row r="302" ht="13.5" customHeight="1" x14ac:dyDescent="0.2"/>
    <row r="303" ht="13.5" customHeight="1" x14ac:dyDescent="0.2"/>
    <row r="304" ht="13.5" customHeight="1" x14ac:dyDescent="0.2"/>
    <row r="305" ht="13.5" customHeight="1" x14ac:dyDescent="0.2"/>
    <row r="306" ht="13.5" customHeight="1" x14ac:dyDescent="0.2"/>
    <row r="307" ht="13.5" customHeight="1" x14ac:dyDescent="0.2"/>
    <row r="308" ht="13.5" customHeight="1" x14ac:dyDescent="0.2"/>
    <row r="309" ht="13.5" customHeight="1" x14ac:dyDescent="0.2"/>
    <row r="310" ht="13.5" customHeight="1" x14ac:dyDescent="0.2"/>
    <row r="311" ht="13.5" customHeight="1" x14ac:dyDescent="0.2"/>
    <row r="312" ht="13.5" customHeight="1" x14ac:dyDescent="0.2"/>
    <row r="313" ht="13.5" customHeight="1" x14ac:dyDescent="0.2"/>
    <row r="314" ht="13.5" customHeight="1" x14ac:dyDescent="0.2"/>
    <row r="315" ht="13.5" customHeight="1" x14ac:dyDescent="0.2"/>
    <row r="316" ht="13.5" customHeight="1" x14ac:dyDescent="0.2"/>
    <row r="317" ht="13.5" customHeight="1" x14ac:dyDescent="0.2"/>
    <row r="318" ht="13.5" customHeight="1" x14ac:dyDescent="0.2"/>
    <row r="319" ht="13.5" customHeight="1" x14ac:dyDescent="0.2"/>
    <row r="320" ht="13.5" customHeight="1" x14ac:dyDescent="0.2"/>
    <row r="321" ht="13.5" customHeight="1" x14ac:dyDescent="0.2"/>
    <row r="322" ht="13.5" customHeight="1" x14ac:dyDescent="0.2"/>
    <row r="323" ht="13.5" customHeight="1" x14ac:dyDescent="0.2"/>
    <row r="324" ht="13.5" customHeight="1" x14ac:dyDescent="0.2"/>
    <row r="325" ht="13.5" customHeight="1" x14ac:dyDescent="0.2"/>
    <row r="326" ht="13.5" customHeight="1" x14ac:dyDescent="0.2"/>
    <row r="327" ht="13.5" customHeight="1" x14ac:dyDescent="0.2"/>
    <row r="328" ht="13.5" customHeight="1" x14ac:dyDescent="0.2"/>
    <row r="329" ht="13.5" customHeight="1" x14ac:dyDescent="0.2"/>
    <row r="330" ht="13.5" customHeight="1" x14ac:dyDescent="0.2"/>
    <row r="331" ht="13.5" customHeight="1" x14ac:dyDescent="0.2"/>
    <row r="332" ht="13.5" customHeight="1" x14ac:dyDescent="0.2"/>
    <row r="333" ht="13.5" customHeight="1" x14ac:dyDescent="0.2"/>
    <row r="334" ht="13.5" customHeight="1" x14ac:dyDescent="0.2"/>
    <row r="335" ht="13.5" customHeight="1" x14ac:dyDescent="0.2"/>
    <row r="336" ht="13.5" customHeight="1" x14ac:dyDescent="0.2"/>
    <row r="337" ht="13.5" customHeight="1" x14ac:dyDescent="0.2"/>
    <row r="338" ht="13.5" customHeight="1" x14ac:dyDescent="0.2"/>
    <row r="339" ht="13.5" customHeight="1" x14ac:dyDescent="0.2"/>
    <row r="340" ht="13.5" customHeight="1" x14ac:dyDescent="0.2"/>
    <row r="341" ht="13.5" customHeight="1" x14ac:dyDescent="0.2"/>
    <row r="342" ht="13.5" customHeight="1" x14ac:dyDescent="0.2"/>
    <row r="343" ht="13.5" customHeight="1" x14ac:dyDescent="0.2"/>
    <row r="344" ht="13.5" customHeight="1" x14ac:dyDescent="0.2"/>
    <row r="345" ht="13.5" customHeight="1" x14ac:dyDescent="0.2"/>
    <row r="346" ht="13.5" customHeight="1" x14ac:dyDescent="0.2"/>
    <row r="347" ht="13.5" customHeight="1" x14ac:dyDescent="0.2"/>
    <row r="348" ht="13.5" customHeight="1" x14ac:dyDescent="0.2"/>
    <row r="349" ht="13.5" customHeight="1" x14ac:dyDescent="0.2"/>
    <row r="350" ht="13.5" customHeight="1" x14ac:dyDescent="0.2"/>
    <row r="351" ht="13.5" customHeight="1" x14ac:dyDescent="0.2"/>
    <row r="352" ht="13.5" customHeight="1" x14ac:dyDescent="0.2"/>
    <row r="353" ht="13.5" customHeight="1" x14ac:dyDescent="0.2"/>
    <row r="354" ht="13.5" customHeight="1" x14ac:dyDescent="0.2"/>
    <row r="355" ht="13.5" customHeight="1" x14ac:dyDescent="0.2"/>
    <row r="356" ht="13.5" customHeight="1" x14ac:dyDescent="0.2"/>
    <row r="357" ht="13.5" customHeight="1" x14ac:dyDescent="0.2"/>
    <row r="358" ht="13.5" customHeight="1" x14ac:dyDescent="0.2"/>
    <row r="359" ht="13.5" customHeight="1" x14ac:dyDescent="0.2"/>
    <row r="360" ht="13.5" customHeight="1" x14ac:dyDescent="0.2"/>
    <row r="361" ht="13.5" customHeight="1" x14ac:dyDescent="0.2"/>
    <row r="362" ht="13.5" customHeight="1" x14ac:dyDescent="0.2"/>
    <row r="363" ht="13.5" customHeight="1" x14ac:dyDescent="0.2"/>
    <row r="364" ht="13.5" customHeight="1" x14ac:dyDescent="0.2"/>
    <row r="365" ht="13.5" customHeight="1" x14ac:dyDescent="0.2"/>
    <row r="366" ht="13.5" customHeight="1" x14ac:dyDescent="0.2"/>
    <row r="367" ht="13.5" customHeight="1" x14ac:dyDescent="0.2"/>
    <row r="368" ht="13.5" customHeight="1" x14ac:dyDescent="0.2"/>
    <row r="369" ht="13.5" customHeight="1" x14ac:dyDescent="0.2"/>
    <row r="370" ht="13.5" customHeight="1" x14ac:dyDescent="0.2"/>
    <row r="371" ht="13.5" customHeight="1" x14ac:dyDescent="0.2"/>
    <row r="372" ht="13.5" customHeight="1" x14ac:dyDescent="0.2"/>
    <row r="373" ht="13.5" customHeight="1" x14ac:dyDescent="0.2"/>
    <row r="374" ht="13.5" customHeight="1" x14ac:dyDescent="0.2"/>
    <row r="375" ht="13.5" customHeight="1" x14ac:dyDescent="0.2"/>
    <row r="376" ht="13.5" customHeight="1" x14ac:dyDescent="0.2"/>
    <row r="377" ht="13.5" customHeight="1" x14ac:dyDescent="0.2"/>
    <row r="378" ht="13.5" customHeight="1" x14ac:dyDescent="0.2"/>
    <row r="379" ht="13.5" customHeight="1" x14ac:dyDescent="0.2"/>
    <row r="380" ht="13.5" customHeight="1" x14ac:dyDescent="0.2"/>
    <row r="381" ht="13.5" customHeight="1" x14ac:dyDescent="0.2"/>
    <row r="382" ht="13.5" customHeight="1" x14ac:dyDescent="0.2"/>
    <row r="383" ht="13.5" customHeight="1" x14ac:dyDescent="0.2"/>
    <row r="384" ht="13.5" customHeight="1" x14ac:dyDescent="0.2"/>
    <row r="385" ht="13.5" customHeight="1" x14ac:dyDescent="0.2"/>
    <row r="386" ht="13.5" customHeight="1" x14ac:dyDescent="0.2"/>
    <row r="387" ht="13.5" customHeight="1" x14ac:dyDescent="0.2"/>
    <row r="388" ht="13.5" customHeight="1" x14ac:dyDescent="0.2"/>
    <row r="389" ht="13.5" customHeight="1" x14ac:dyDescent="0.2"/>
    <row r="390" ht="13.5" customHeight="1" x14ac:dyDescent="0.2"/>
    <row r="391" ht="13.5" customHeight="1" x14ac:dyDescent="0.2"/>
    <row r="392" ht="13.5" customHeight="1" x14ac:dyDescent="0.2"/>
    <row r="393" ht="13.5" customHeight="1" x14ac:dyDescent="0.2"/>
    <row r="394" ht="13.5" customHeight="1" x14ac:dyDescent="0.2"/>
    <row r="395" ht="13.5" customHeight="1" x14ac:dyDescent="0.2"/>
    <row r="396" ht="13.5" customHeight="1" x14ac:dyDescent="0.2"/>
    <row r="397" ht="13.5" customHeight="1" x14ac:dyDescent="0.2"/>
    <row r="398" ht="13.5" customHeight="1" x14ac:dyDescent="0.2"/>
    <row r="399" ht="13.5" customHeight="1" x14ac:dyDescent="0.2"/>
    <row r="400" ht="13.5" customHeight="1" x14ac:dyDescent="0.2"/>
    <row r="401" ht="13.5" customHeight="1" x14ac:dyDescent="0.2"/>
    <row r="402" ht="13.5" customHeight="1" x14ac:dyDescent="0.2"/>
    <row r="403" ht="13.5" customHeight="1" x14ac:dyDescent="0.2"/>
    <row r="404" ht="13.5" customHeight="1" x14ac:dyDescent="0.2"/>
    <row r="405" ht="13.5" customHeight="1" x14ac:dyDescent="0.2"/>
    <row r="406" ht="13.5" customHeight="1" x14ac:dyDescent="0.2"/>
    <row r="407" ht="13.5" customHeight="1" x14ac:dyDescent="0.2"/>
    <row r="408" ht="13.5" customHeight="1" x14ac:dyDescent="0.2"/>
    <row r="409" ht="13.5" customHeight="1" x14ac:dyDescent="0.2"/>
    <row r="410" ht="13.5" customHeight="1" x14ac:dyDescent="0.2"/>
    <row r="411" ht="13.5" customHeight="1" x14ac:dyDescent="0.2"/>
    <row r="412" ht="13.5" customHeight="1" x14ac:dyDescent="0.2"/>
    <row r="413" ht="13.5" customHeight="1" x14ac:dyDescent="0.2"/>
    <row r="414" ht="13.5" customHeight="1" x14ac:dyDescent="0.2"/>
    <row r="415" ht="13.5" customHeight="1" x14ac:dyDescent="0.2"/>
    <row r="416" ht="13.5" customHeight="1" x14ac:dyDescent="0.2"/>
    <row r="417" ht="13.5" customHeight="1" x14ac:dyDescent="0.2"/>
    <row r="418" ht="13.5" customHeight="1" x14ac:dyDescent="0.2"/>
    <row r="419" ht="13.5" customHeight="1" x14ac:dyDescent="0.2"/>
    <row r="420" ht="13.5" customHeight="1" x14ac:dyDescent="0.2"/>
    <row r="421" ht="13.5" customHeight="1" x14ac:dyDescent="0.2"/>
    <row r="422" ht="13.5" customHeight="1" x14ac:dyDescent="0.2"/>
    <row r="423" ht="13.5" customHeight="1" x14ac:dyDescent="0.2"/>
    <row r="424" ht="13.5" customHeight="1" x14ac:dyDescent="0.2"/>
    <row r="425" ht="13.5" customHeight="1" x14ac:dyDescent="0.2"/>
    <row r="426" ht="13.5" customHeight="1" x14ac:dyDescent="0.2"/>
    <row r="427" ht="13.5" customHeight="1" x14ac:dyDescent="0.2"/>
    <row r="428" ht="13.5" customHeight="1" x14ac:dyDescent="0.2"/>
    <row r="429" ht="13.5" customHeight="1" x14ac:dyDescent="0.2"/>
    <row r="430" ht="13.5" customHeight="1" x14ac:dyDescent="0.2"/>
    <row r="431" ht="13.5" customHeight="1" x14ac:dyDescent="0.2"/>
    <row r="432" ht="13.5" customHeight="1" x14ac:dyDescent="0.2"/>
    <row r="433" ht="13.5" customHeight="1" x14ac:dyDescent="0.2"/>
    <row r="434" ht="13.5" customHeight="1" x14ac:dyDescent="0.2"/>
    <row r="435" ht="13.5" customHeight="1" x14ac:dyDescent="0.2"/>
    <row r="436" ht="13.5" customHeight="1" x14ac:dyDescent="0.2"/>
    <row r="437" ht="13.5" customHeight="1" x14ac:dyDescent="0.2"/>
    <row r="438" ht="13.5" customHeight="1" x14ac:dyDescent="0.2"/>
    <row r="439" ht="13.5" customHeight="1" x14ac:dyDescent="0.2"/>
    <row r="440" ht="13.5" customHeight="1" x14ac:dyDescent="0.2"/>
    <row r="441" ht="13.5" customHeight="1" x14ac:dyDescent="0.2"/>
    <row r="442" ht="13.5" customHeight="1" x14ac:dyDescent="0.2"/>
    <row r="443" ht="13.5" customHeight="1" x14ac:dyDescent="0.2"/>
    <row r="444" ht="13.5" customHeight="1" x14ac:dyDescent="0.2"/>
    <row r="445" ht="13.5" customHeight="1" x14ac:dyDescent="0.2"/>
    <row r="446" ht="13.5" customHeight="1" x14ac:dyDescent="0.2"/>
    <row r="447" ht="13.5" customHeight="1" x14ac:dyDescent="0.2"/>
    <row r="448" ht="13.5" customHeight="1" x14ac:dyDescent="0.2"/>
    <row r="449" ht="13.5" customHeight="1" x14ac:dyDescent="0.2"/>
    <row r="450" ht="13.5" customHeight="1" x14ac:dyDescent="0.2"/>
    <row r="451" ht="13.5" customHeight="1" x14ac:dyDescent="0.2"/>
    <row r="452" ht="13.5" customHeight="1" x14ac:dyDescent="0.2"/>
    <row r="453" ht="13.5" customHeight="1" x14ac:dyDescent="0.2"/>
    <row r="454" ht="13.5" customHeight="1" x14ac:dyDescent="0.2"/>
    <row r="455" ht="13.5" customHeight="1" x14ac:dyDescent="0.2"/>
    <row r="456" ht="13.5" customHeight="1" x14ac:dyDescent="0.2"/>
    <row r="457" ht="13.5" customHeight="1" x14ac:dyDescent="0.2"/>
    <row r="458" ht="13.5" customHeight="1" x14ac:dyDescent="0.2"/>
    <row r="459" ht="13.5" customHeight="1" x14ac:dyDescent="0.2"/>
    <row r="460" ht="13.5" customHeight="1" x14ac:dyDescent="0.2"/>
    <row r="461" ht="13.5" customHeight="1" x14ac:dyDescent="0.2"/>
    <row r="462" ht="13.5" customHeight="1" x14ac:dyDescent="0.2"/>
    <row r="463" ht="13.5" customHeight="1" x14ac:dyDescent="0.2"/>
    <row r="464" ht="13.5" customHeight="1" x14ac:dyDescent="0.2"/>
    <row r="465" ht="13.5" customHeight="1" x14ac:dyDescent="0.2"/>
    <row r="466" ht="13.5" customHeight="1" x14ac:dyDescent="0.2"/>
    <row r="467" ht="13.5" customHeight="1" x14ac:dyDescent="0.2"/>
    <row r="468" ht="13.5" customHeight="1" x14ac:dyDescent="0.2"/>
    <row r="469" ht="13.5" customHeight="1" x14ac:dyDescent="0.2"/>
    <row r="470" ht="13.5" customHeight="1" x14ac:dyDescent="0.2"/>
    <row r="471" ht="13.5" customHeight="1" x14ac:dyDescent="0.2"/>
    <row r="472" ht="13.5" customHeight="1" x14ac:dyDescent="0.2"/>
    <row r="473" ht="13.5" customHeight="1" x14ac:dyDescent="0.2"/>
    <row r="474" ht="13.5" customHeight="1" x14ac:dyDescent="0.2"/>
    <row r="475" ht="13.5" customHeight="1" x14ac:dyDescent="0.2"/>
    <row r="476" ht="13.5" customHeight="1" x14ac:dyDescent="0.2"/>
    <row r="477" ht="13.5" customHeight="1" x14ac:dyDescent="0.2"/>
    <row r="478" ht="13.5" customHeight="1" x14ac:dyDescent="0.2"/>
    <row r="479" ht="13.5" customHeight="1" x14ac:dyDescent="0.2"/>
    <row r="480" ht="13.5" customHeight="1" x14ac:dyDescent="0.2"/>
    <row r="481" ht="13.5" customHeight="1" x14ac:dyDescent="0.2"/>
    <row r="482" ht="13.5" customHeight="1" x14ac:dyDescent="0.2"/>
    <row r="483" ht="13.5" customHeight="1" x14ac:dyDescent="0.2"/>
    <row r="484" ht="13.5" customHeight="1" x14ac:dyDescent="0.2"/>
    <row r="485" ht="13.5" customHeight="1" x14ac:dyDescent="0.2"/>
    <row r="486" ht="13.5" customHeight="1" x14ac:dyDescent="0.2"/>
    <row r="487" ht="13.5" customHeight="1" x14ac:dyDescent="0.2"/>
    <row r="488" ht="13.5" customHeight="1" x14ac:dyDescent="0.2"/>
    <row r="489" ht="13.5" customHeight="1" x14ac:dyDescent="0.2"/>
    <row r="490" ht="13.5" customHeight="1" x14ac:dyDescent="0.2"/>
    <row r="491" ht="13.5" customHeight="1" x14ac:dyDescent="0.2"/>
    <row r="492" ht="13.5" customHeight="1" x14ac:dyDescent="0.2"/>
    <row r="493" ht="13.5" customHeight="1" x14ac:dyDescent="0.2"/>
    <row r="494" ht="13.5" customHeight="1" x14ac:dyDescent="0.2"/>
    <row r="495" ht="13.5" customHeight="1" x14ac:dyDescent="0.2"/>
    <row r="496" ht="13.5" customHeight="1" x14ac:dyDescent="0.2"/>
    <row r="497" ht="13.5" customHeight="1" x14ac:dyDescent="0.2"/>
    <row r="498" ht="13.5" customHeight="1" x14ac:dyDescent="0.2"/>
    <row r="499" ht="13.5" customHeight="1" x14ac:dyDescent="0.2"/>
    <row r="500" ht="13.5" customHeight="1" x14ac:dyDescent="0.2"/>
    <row r="501" ht="13.5" customHeight="1" x14ac:dyDescent="0.2"/>
    <row r="502" ht="13.5" customHeight="1" x14ac:dyDescent="0.2"/>
    <row r="503" ht="13.5" customHeight="1" x14ac:dyDescent="0.2"/>
    <row r="504" ht="15.75" customHeight="1" x14ac:dyDescent="0.2"/>
    <row r="505" ht="13.5" customHeight="1" x14ac:dyDescent="0.2"/>
    <row r="506" ht="13.5" customHeight="1" x14ac:dyDescent="0.2"/>
    <row r="507" ht="13.5" customHeight="1" x14ac:dyDescent="0.2"/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D9EE6-EF23-C54A-A585-8278006CD78B}">
  <dimension ref="B2:E60"/>
  <sheetViews>
    <sheetView zoomScale="159" workbookViewId="0">
      <selection activeCell="E37" sqref="E37"/>
    </sheetView>
  </sheetViews>
  <sheetFormatPr baseColWidth="10" defaultColWidth="8.83203125" defaultRowHeight="15" x14ac:dyDescent="0.2"/>
  <cols>
    <col min="2" max="2" width="44.83203125" bestFit="1" customWidth="1"/>
    <col min="3" max="6" width="12.6640625" customWidth="1"/>
  </cols>
  <sheetData>
    <row r="2" spans="2:5" x14ac:dyDescent="0.2">
      <c r="B2" s="11"/>
      <c r="C2" s="11" t="s">
        <v>0</v>
      </c>
      <c r="D2" s="11" t="s">
        <v>1</v>
      </c>
      <c r="E2" s="11" t="s">
        <v>58</v>
      </c>
    </row>
    <row r="3" spans="2:5" x14ac:dyDescent="0.2">
      <c r="B3" s="37" t="s">
        <v>3</v>
      </c>
      <c r="C3" s="49">
        <v>1719</v>
      </c>
      <c r="D3" s="49">
        <v>267</v>
      </c>
      <c r="E3" s="49">
        <v>116</v>
      </c>
    </row>
    <row r="4" spans="2:5" x14ac:dyDescent="0.2">
      <c r="B4" s="38" t="s">
        <v>4</v>
      </c>
      <c r="C4" s="50">
        <v>1719</v>
      </c>
      <c r="D4" s="50">
        <v>267</v>
      </c>
      <c r="E4" s="50">
        <v>116</v>
      </c>
    </row>
    <row r="5" spans="2:5" x14ac:dyDescent="0.2">
      <c r="B5" s="37" t="s">
        <v>5</v>
      </c>
      <c r="C5" s="49">
        <f>SUM(C6:C8)</f>
        <v>566</v>
      </c>
      <c r="D5" s="49">
        <f>SUM(D6:D8)</f>
        <v>208</v>
      </c>
      <c r="E5" s="49">
        <f>SUM(E6:E8)</f>
        <v>60</v>
      </c>
    </row>
    <row r="6" spans="2:5" x14ac:dyDescent="0.2">
      <c r="B6" s="38" t="s">
        <v>6</v>
      </c>
      <c r="C6" s="50">
        <v>229</v>
      </c>
      <c r="D6" s="50">
        <v>45</v>
      </c>
      <c r="E6" s="50">
        <v>16</v>
      </c>
    </row>
    <row r="7" spans="2:5" x14ac:dyDescent="0.2">
      <c r="B7" s="38" t="s">
        <v>7</v>
      </c>
      <c r="C7" s="50">
        <v>227</v>
      </c>
      <c r="D7" s="50">
        <v>108</v>
      </c>
      <c r="E7" s="50">
        <v>22</v>
      </c>
    </row>
    <row r="8" spans="2:5" x14ac:dyDescent="0.2">
      <c r="B8" s="38" t="s">
        <v>8</v>
      </c>
      <c r="C8" s="50">
        <v>110</v>
      </c>
      <c r="D8" s="50">
        <v>55</v>
      </c>
      <c r="E8" s="67">
        <v>22</v>
      </c>
    </row>
    <row r="9" spans="2:5" x14ac:dyDescent="0.2">
      <c r="B9" s="37" t="s">
        <v>9</v>
      </c>
      <c r="C9" s="49">
        <f>SUM(C10:C13)</f>
        <v>687</v>
      </c>
      <c r="D9" s="49">
        <f>SUM(D10:D13)</f>
        <v>105</v>
      </c>
      <c r="E9" s="49">
        <f>SUM(E10:E13)</f>
        <v>53</v>
      </c>
    </row>
    <row r="10" spans="2:5" x14ac:dyDescent="0.2">
      <c r="B10" s="38" t="s">
        <v>10</v>
      </c>
      <c r="C10" s="50">
        <v>236</v>
      </c>
      <c r="D10" s="50">
        <v>72</v>
      </c>
      <c r="E10" s="50">
        <v>36</v>
      </c>
    </row>
    <row r="11" spans="2:5" x14ac:dyDescent="0.2">
      <c r="B11" s="38" t="s">
        <v>79</v>
      </c>
      <c r="C11" s="50">
        <v>53</v>
      </c>
      <c r="D11" s="50">
        <v>22</v>
      </c>
      <c r="E11" s="50">
        <v>12</v>
      </c>
    </row>
    <row r="12" spans="2:5" x14ac:dyDescent="0.2">
      <c r="B12" s="38" t="s">
        <v>11</v>
      </c>
      <c r="C12" s="50">
        <v>337</v>
      </c>
      <c r="D12" s="51" t="s">
        <v>101</v>
      </c>
      <c r="E12" s="51" t="s">
        <v>102</v>
      </c>
    </row>
    <row r="13" spans="2:5" x14ac:dyDescent="0.2">
      <c r="B13" s="38" t="s">
        <v>12</v>
      </c>
      <c r="C13" s="50">
        <v>61</v>
      </c>
      <c r="D13" s="50">
        <v>11</v>
      </c>
      <c r="E13" s="50">
        <v>5</v>
      </c>
    </row>
    <row r="14" spans="2:5" x14ac:dyDescent="0.2">
      <c r="B14" s="37" t="s">
        <v>13</v>
      </c>
      <c r="C14" s="49">
        <v>2919</v>
      </c>
      <c r="D14" s="49">
        <v>498</v>
      </c>
      <c r="E14" s="49">
        <v>237</v>
      </c>
    </row>
    <row r="15" spans="2:5" x14ac:dyDescent="0.2">
      <c r="B15" s="38" t="s">
        <v>15</v>
      </c>
      <c r="C15" s="50">
        <v>2919</v>
      </c>
      <c r="D15" s="50">
        <v>498</v>
      </c>
      <c r="E15" s="50">
        <v>237</v>
      </c>
    </row>
    <row r="16" spans="2:5" x14ac:dyDescent="0.2">
      <c r="B16" s="37" t="s">
        <v>54</v>
      </c>
      <c r="C16" s="49">
        <v>610</v>
      </c>
      <c r="D16" s="49">
        <v>126</v>
      </c>
      <c r="E16" s="49">
        <v>52</v>
      </c>
    </row>
    <row r="17" spans="2:5" x14ac:dyDescent="0.2">
      <c r="B17" s="38" t="s">
        <v>55</v>
      </c>
      <c r="C17" s="50">
        <v>610</v>
      </c>
      <c r="D17" s="50">
        <v>126</v>
      </c>
      <c r="E17" s="50">
        <v>52</v>
      </c>
    </row>
    <row r="18" spans="2:5" x14ac:dyDescent="0.2">
      <c r="B18" s="37" t="s">
        <v>17</v>
      </c>
      <c r="C18" s="49">
        <f>SUM(C19:C22)</f>
        <v>739</v>
      </c>
      <c r="D18" s="49">
        <f>SUM(D19:D22)</f>
        <v>307</v>
      </c>
      <c r="E18" s="49">
        <f>SUM(E19:E22)</f>
        <v>67</v>
      </c>
    </row>
    <row r="19" spans="2:5" x14ac:dyDescent="0.2">
      <c r="B19" s="38" t="s">
        <v>18</v>
      </c>
      <c r="C19" s="50">
        <v>292</v>
      </c>
      <c r="D19" s="50">
        <v>180</v>
      </c>
      <c r="E19" s="50">
        <v>33</v>
      </c>
    </row>
    <row r="20" spans="2:5" x14ac:dyDescent="0.2">
      <c r="B20" s="38" t="s">
        <v>19</v>
      </c>
      <c r="C20" s="50">
        <v>178</v>
      </c>
      <c r="D20" s="50">
        <v>41</v>
      </c>
      <c r="E20" s="50">
        <v>9</v>
      </c>
    </row>
    <row r="21" spans="2:5" x14ac:dyDescent="0.2">
      <c r="B21" s="38" t="s">
        <v>20</v>
      </c>
      <c r="C21" s="50">
        <v>108</v>
      </c>
      <c r="D21" s="50">
        <v>19</v>
      </c>
      <c r="E21" s="51" t="s">
        <v>100</v>
      </c>
    </row>
    <row r="22" spans="2:5" x14ac:dyDescent="0.2">
      <c r="B22" s="38" t="s">
        <v>21</v>
      </c>
      <c r="C22" s="50">
        <v>161</v>
      </c>
      <c r="D22" s="50">
        <v>67</v>
      </c>
      <c r="E22" s="50">
        <v>25</v>
      </c>
    </row>
    <row r="23" spans="2:5" x14ac:dyDescent="0.2">
      <c r="B23" s="37" t="s">
        <v>22</v>
      </c>
      <c r="C23" s="49">
        <f>SUM(C24:C28)</f>
        <v>2408</v>
      </c>
      <c r="D23" s="49">
        <f>SUM(D24:D28)</f>
        <v>418</v>
      </c>
      <c r="E23" s="49">
        <f>SUM(E24:E28)</f>
        <v>145</v>
      </c>
    </row>
    <row r="24" spans="2:5" x14ac:dyDescent="0.2">
      <c r="B24" s="38" t="s">
        <v>59</v>
      </c>
      <c r="C24" s="50">
        <v>220</v>
      </c>
      <c r="D24" s="50">
        <v>60</v>
      </c>
      <c r="E24" s="50">
        <v>28</v>
      </c>
    </row>
    <row r="25" spans="2:5" x14ac:dyDescent="0.2">
      <c r="B25" s="38" t="s">
        <v>60</v>
      </c>
      <c r="C25" s="50">
        <v>694</v>
      </c>
      <c r="D25" s="50">
        <v>110</v>
      </c>
      <c r="E25" s="50">
        <v>38</v>
      </c>
    </row>
    <row r="26" spans="2:5" x14ac:dyDescent="0.2">
      <c r="B26" s="38" t="s">
        <v>61</v>
      </c>
      <c r="C26" s="50">
        <v>315</v>
      </c>
      <c r="D26" s="50">
        <v>68</v>
      </c>
      <c r="E26" s="50">
        <v>21</v>
      </c>
    </row>
    <row r="27" spans="2:5" x14ac:dyDescent="0.2">
      <c r="B27" s="38" t="s">
        <v>56</v>
      </c>
      <c r="C27" s="50">
        <v>971</v>
      </c>
      <c r="D27" s="50">
        <v>94</v>
      </c>
      <c r="E27" s="50">
        <v>32</v>
      </c>
    </row>
    <row r="28" spans="2:5" x14ac:dyDescent="0.2">
      <c r="B28" s="38" t="s">
        <v>26</v>
      </c>
      <c r="C28" s="50">
        <v>208</v>
      </c>
      <c r="D28" s="50">
        <v>86</v>
      </c>
      <c r="E28" s="50">
        <v>26</v>
      </c>
    </row>
    <row r="29" spans="2:5" x14ac:dyDescent="0.2">
      <c r="B29" s="37" t="s">
        <v>27</v>
      </c>
      <c r="C29" s="49">
        <f>SUM(C30:C31)</f>
        <v>805</v>
      </c>
      <c r="D29" s="49">
        <f>SUM(D30:D31)</f>
        <v>342</v>
      </c>
      <c r="E29" s="49">
        <f>SUM(E30:E31)</f>
        <v>83</v>
      </c>
    </row>
    <row r="30" spans="2:5" x14ac:dyDescent="0.2">
      <c r="B30" s="38" t="s">
        <v>28</v>
      </c>
      <c r="C30" s="50">
        <v>492</v>
      </c>
      <c r="D30" s="50">
        <v>250</v>
      </c>
      <c r="E30" s="50">
        <v>51</v>
      </c>
    </row>
    <row r="31" spans="2:5" x14ac:dyDescent="0.2">
      <c r="B31" s="38" t="s">
        <v>29</v>
      </c>
      <c r="C31" s="50">
        <v>313</v>
      </c>
      <c r="D31" s="50">
        <v>92</v>
      </c>
      <c r="E31" s="50">
        <v>32</v>
      </c>
    </row>
    <row r="32" spans="2:5" x14ac:dyDescent="0.2">
      <c r="B32" s="37" t="s">
        <v>30</v>
      </c>
      <c r="C32" s="49">
        <v>864</v>
      </c>
      <c r="D32" s="49">
        <v>161</v>
      </c>
      <c r="E32" s="49">
        <v>60</v>
      </c>
    </row>
    <row r="33" spans="2:5" x14ac:dyDescent="0.2">
      <c r="B33" s="38" t="s">
        <v>31</v>
      </c>
      <c r="C33" s="50">
        <v>864</v>
      </c>
      <c r="D33" s="50">
        <v>161</v>
      </c>
      <c r="E33" s="50">
        <v>60</v>
      </c>
    </row>
    <row r="34" spans="2:5" x14ac:dyDescent="0.2">
      <c r="B34" s="39" t="s">
        <v>78</v>
      </c>
      <c r="C34" s="49">
        <f>SUM(C35:C36)</f>
        <v>329</v>
      </c>
      <c r="D34" s="49">
        <f>SUM(D35:D36)</f>
        <v>69</v>
      </c>
      <c r="E34" s="49">
        <f>SUM(E35:E36)</f>
        <v>21</v>
      </c>
    </row>
    <row r="35" spans="2:5" x14ac:dyDescent="0.2">
      <c r="B35" s="52" t="s">
        <v>77</v>
      </c>
      <c r="C35" s="50">
        <v>163</v>
      </c>
      <c r="D35" s="50">
        <v>23</v>
      </c>
      <c r="E35" s="50">
        <v>11</v>
      </c>
    </row>
    <row r="36" spans="2:5" x14ac:dyDescent="0.2">
      <c r="B36" s="52" t="s">
        <v>76</v>
      </c>
      <c r="C36" s="50">
        <v>166</v>
      </c>
      <c r="D36" s="50">
        <v>46</v>
      </c>
      <c r="E36" s="50">
        <v>10</v>
      </c>
    </row>
    <row r="37" spans="2:5" x14ac:dyDescent="0.2">
      <c r="B37" s="39" t="s">
        <v>32</v>
      </c>
      <c r="C37" s="49">
        <v>2525</v>
      </c>
      <c r="D37" s="49">
        <v>511</v>
      </c>
      <c r="E37" s="49">
        <v>157</v>
      </c>
    </row>
    <row r="38" spans="2:5" x14ac:dyDescent="0.2">
      <c r="B38" s="52" t="s">
        <v>33</v>
      </c>
      <c r="C38" s="50">
        <v>2525</v>
      </c>
      <c r="D38" s="50">
        <v>511</v>
      </c>
      <c r="E38" s="50">
        <v>157</v>
      </c>
    </row>
    <row r="39" spans="2:5" x14ac:dyDescent="0.2">
      <c r="B39" s="39" t="s">
        <v>34</v>
      </c>
      <c r="C39" s="49">
        <v>1749</v>
      </c>
      <c r="D39" s="49">
        <v>390</v>
      </c>
      <c r="E39" s="49">
        <v>151</v>
      </c>
    </row>
    <row r="40" spans="2:5" x14ac:dyDescent="0.2">
      <c r="B40" s="52" t="s">
        <v>35</v>
      </c>
      <c r="C40" s="50">
        <v>1749</v>
      </c>
      <c r="D40" s="50">
        <v>390</v>
      </c>
      <c r="E40" s="50">
        <v>151</v>
      </c>
    </row>
    <row r="41" spans="2:5" x14ac:dyDescent="0.2">
      <c r="B41" s="39" t="s">
        <v>36</v>
      </c>
      <c r="C41" s="49">
        <f>SUM(C42:C44)</f>
        <v>1203</v>
      </c>
      <c r="D41" s="49">
        <f>SUM(D42:D44)</f>
        <v>316</v>
      </c>
      <c r="E41" s="49">
        <f>SUM(E42:E44)</f>
        <v>137</v>
      </c>
    </row>
    <row r="42" spans="2:5" x14ac:dyDescent="0.2">
      <c r="B42" s="52" t="s">
        <v>62</v>
      </c>
      <c r="C42" s="50">
        <v>398</v>
      </c>
      <c r="D42" s="50">
        <v>84</v>
      </c>
      <c r="E42" s="50">
        <v>41</v>
      </c>
    </row>
    <row r="43" spans="2:5" ht="13" customHeight="1" x14ac:dyDescent="0.2">
      <c r="B43" s="52" t="s">
        <v>37</v>
      </c>
      <c r="C43" s="50">
        <v>500</v>
      </c>
      <c r="D43" s="50">
        <v>135</v>
      </c>
      <c r="E43" s="50">
        <v>56</v>
      </c>
    </row>
    <row r="44" spans="2:5" x14ac:dyDescent="0.2">
      <c r="B44" s="52" t="s">
        <v>38</v>
      </c>
      <c r="C44" s="50">
        <v>305</v>
      </c>
      <c r="D44" s="50">
        <v>97</v>
      </c>
      <c r="E44" s="50">
        <v>40</v>
      </c>
    </row>
    <row r="45" spans="2:5" x14ac:dyDescent="0.2">
      <c r="B45" s="45" t="s">
        <v>63</v>
      </c>
      <c r="C45" s="49">
        <f>SUM(C46:C48)</f>
        <v>1536</v>
      </c>
      <c r="D45" s="49">
        <f>SUM(D46:D48)</f>
        <v>298</v>
      </c>
      <c r="E45" s="49">
        <f>SUM(E46:E48)</f>
        <v>89</v>
      </c>
    </row>
    <row r="46" spans="2:5" x14ac:dyDescent="0.2">
      <c r="B46" s="48" t="s">
        <v>39</v>
      </c>
      <c r="C46" s="50">
        <v>294</v>
      </c>
      <c r="D46" s="50">
        <v>54</v>
      </c>
      <c r="E46" s="50">
        <v>25</v>
      </c>
    </row>
    <row r="47" spans="2:5" x14ac:dyDescent="0.2">
      <c r="B47" s="48" t="s">
        <v>40</v>
      </c>
      <c r="C47" s="50">
        <v>149</v>
      </c>
      <c r="D47" s="50">
        <v>50</v>
      </c>
      <c r="E47" s="50">
        <v>10</v>
      </c>
    </row>
    <row r="48" spans="2:5" x14ac:dyDescent="0.2">
      <c r="B48" s="48" t="s">
        <v>57</v>
      </c>
      <c r="C48" s="50">
        <v>1093</v>
      </c>
      <c r="D48" s="50">
        <v>194</v>
      </c>
      <c r="E48" s="50">
        <v>54</v>
      </c>
    </row>
    <row r="49" spans="2:5" x14ac:dyDescent="0.2">
      <c r="B49" s="56" t="s">
        <v>67</v>
      </c>
      <c r="C49" s="57">
        <v>372</v>
      </c>
      <c r="D49" s="57">
        <v>109</v>
      </c>
      <c r="E49" s="57">
        <v>31</v>
      </c>
    </row>
    <row r="50" spans="2:5" x14ac:dyDescent="0.2">
      <c r="B50" s="55" t="s">
        <v>75</v>
      </c>
      <c r="C50" s="41">
        <v>372</v>
      </c>
      <c r="D50" s="41">
        <v>109</v>
      </c>
      <c r="E50" s="41">
        <v>31</v>
      </c>
    </row>
    <row r="51" spans="2:5" x14ac:dyDescent="0.2">
      <c r="B51" s="45" t="s">
        <v>41</v>
      </c>
      <c r="C51" s="49">
        <f>SUM(C52:C54)</f>
        <v>617</v>
      </c>
      <c r="D51" s="49">
        <f>SUM(D52:D54)</f>
        <v>154</v>
      </c>
      <c r="E51" s="49">
        <f>SUM(E52:E54)</f>
        <v>63</v>
      </c>
    </row>
    <row r="52" spans="2:5" x14ac:dyDescent="0.2">
      <c r="B52" s="48" t="s">
        <v>83</v>
      </c>
      <c r="C52" s="50">
        <v>160</v>
      </c>
      <c r="D52" s="50">
        <v>54</v>
      </c>
      <c r="E52" s="50">
        <v>24</v>
      </c>
    </row>
    <row r="53" spans="2:5" x14ac:dyDescent="0.2">
      <c r="B53" s="48" t="s">
        <v>64</v>
      </c>
      <c r="C53" s="50">
        <v>188</v>
      </c>
      <c r="D53" s="50">
        <v>56</v>
      </c>
      <c r="E53" s="50">
        <v>21</v>
      </c>
    </row>
    <row r="54" spans="2:5" x14ac:dyDescent="0.2">
      <c r="B54" s="54" t="s">
        <v>73</v>
      </c>
      <c r="C54" s="50">
        <v>269</v>
      </c>
      <c r="D54" s="50">
        <v>44</v>
      </c>
      <c r="E54" s="50">
        <v>18</v>
      </c>
    </row>
    <row r="55" spans="2:5" x14ac:dyDescent="0.2">
      <c r="B55" s="45" t="s">
        <v>47</v>
      </c>
      <c r="C55" s="49">
        <v>358</v>
      </c>
      <c r="D55" s="49">
        <v>160</v>
      </c>
      <c r="E55" s="49">
        <v>37</v>
      </c>
    </row>
    <row r="56" spans="2:5" x14ac:dyDescent="0.2">
      <c r="B56" s="48" t="s">
        <v>48</v>
      </c>
      <c r="C56" s="50">
        <v>358</v>
      </c>
      <c r="D56" s="50">
        <v>160</v>
      </c>
      <c r="E56" s="50">
        <v>37</v>
      </c>
    </row>
    <row r="57" spans="2:5" x14ac:dyDescent="0.2">
      <c r="B57" s="45" t="s">
        <v>49</v>
      </c>
      <c r="C57" s="49">
        <f>SUM(C58:C59)</f>
        <v>943</v>
      </c>
      <c r="D57" s="49">
        <f>SUM(D58:D59)</f>
        <v>275</v>
      </c>
      <c r="E57" s="49">
        <f>SUM(E58:E59)</f>
        <v>111</v>
      </c>
    </row>
    <row r="58" spans="2:5" x14ac:dyDescent="0.2">
      <c r="B58" s="48" t="s">
        <v>50</v>
      </c>
      <c r="C58" s="50">
        <v>456</v>
      </c>
      <c r="D58" s="50">
        <v>179</v>
      </c>
      <c r="E58" s="50">
        <v>77</v>
      </c>
    </row>
    <row r="59" spans="2:5" x14ac:dyDescent="0.2">
      <c r="B59" s="52" t="s">
        <v>65</v>
      </c>
      <c r="C59" s="50">
        <v>487</v>
      </c>
      <c r="D59" s="50">
        <v>96</v>
      </c>
      <c r="E59" s="50">
        <v>34</v>
      </c>
    </row>
    <row r="60" spans="2:5" x14ac:dyDescent="0.2">
      <c r="B60" s="53" t="s">
        <v>53</v>
      </c>
      <c r="C60" s="46">
        <f>SUM(C58:C59,C56,C40,C52:C54,C46:C48,C42:C44,C38,C35:C36,C33,C30:C31,C24:C28,C19:C22,C17,C15:C15,C10:C13,C6:C8,C4,C50)</f>
        <v>20949</v>
      </c>
      <c r="D60" s="46">
        <f>SUM(D58:D59,D56,D40,D52:D54,D46:D48,D42:D44,D38,D35:D36,D33,D30:D31,D24:D28,D19:D22,D17,D15:D15,D10:D13,D6:D8,D4,D50)</f>
        <v>4714</v>
      </c>
      <c r="E60" s="46">
        <f>SUM(E58:E59,E56,E40,E52:E54,E46:E48,E42:E44,E38,E35:E36,E33,E30:E31,E24:E28,E19:E22,E17,E15:E15,E10:E13,E6:E9,E4,E50)</f>
        <v>1723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2B23E-C0C5-654B-AF37-1DD8F6BB6F2E}">
  <dimension ref="B2:E63"/>
  <sheetViews>
    <sheetView zoomScale="150" workbookViewId="0">
      <selection activeCell="C5" sqref="C5"/>
    </sheetView>
  </sheetViews>
  <sheetFormatPr baseColWidth="10" defaultColWidth="8.83203125" defaultRowHeight="15" x14ac:dyDescent="0.2"/>
  <cols>
    <col min="2" max="2" width="44.83203125" bestFit="1" customWidth="1"/>
    <col min="3" max="6" width="12.6640625" customWidth="1"/>
  </cols>
  <sheetData>
    <row r="2" spans="2:5" x14ac:dyDescent="0.2">
      <c r="B2" s="11"/>
      <c r="C2" s="11" t="s">
        <v>0</v>
      </c>
      <c r="D2" s="11" t="s">
        <v>1</v>
      </c>
      <c r="E2" s="11" t="s">
        <v>58</v>
      </c>
    </row>
    <row r="3" spans="2:5" x14ac:dyDescent="0.2">
      <c r="B3" s="12" t="s">
        <v>3</v>
      </c>
      <c r="C3" s="43">
        <v>1788</v>
      </c>
      <c r="D3" s="43">
        <v>310</v>
      </c>
      <c r="E3" s="43">
        <v>146</v>
      </c>
    </row>
    <row r="4" spans="2:5" x14ac:dyDescent="0.2">
      <c r="B4" s="13" t="s">
        <v>4</v>
      </c>
      <c r="C4" s="44">
        <v>1788</v>
      </c>
      <c r="D4" s="44">
        <v>310</v>
      </c>
      <c r="E4" s="44">
        <v>146</v>
      </c>
    </row>
    <row r="5" spans="2:5" x14ac:dyDescent="0.2">
      <c r="B5" s="12" t="s">
        <v>5</v>
      </c>
      <c r="C5" s="12">
        <v>563</v>
      </c>
      <c r="D5" s="12">
        <v>228</v>
      </c>
      <c r="E5" s="12">
        <v>69</v>
      </c>
    </row>
    <row r="6" spans="2:5" x14ac:dyDescent="0.2">
      <c r="B6" s="13" t="s">
        <v>6</v>
      </c>
      <c r="C6" s="13">
        <v>260</v>
      </c>
      <c r="D6" s="13">
        <v>61</v>
      </c>
      <c r="E6" s="13">
        <v>28</v>
      </c>
    </row>
    <row r="7" spans="2:5" x14ac:dyDescent="0.2">
      <c r="B7" s="13" t="s">
        <v>7</v>
      </c>
      <c r="C7" s="13">
        <v>195</v>
      </c>
      <c r="D7" s="13">
        <v>109</v>
      </c>
      <c r="E7" s="13">
        <v>28</v>
      </c>
    </row>
    <row r="8" spans="2:5" x14ac:dyDescent="0.2">
      <c r="B8" s="13" t="s">
        <v>8</v>
      </c>
      <c r="C8" s="13">
        <v>108</v>
      </c>
      <c r="D8" s="13">
        <v>58</v>
      </c>
      <c r="E8" s="13">
        <v>13</v>
      </c>
    </row>
    <row r="9" spans="2:5" x14ac:dyDescent="0.2">
      <c r="B9" s="12" t="s">
        <v>9</v>
      </c>
      <c r="C9" s="12">
        <v>735</v>
      </c>
      <c r="D9" s="12">
        <v>138</v>
      </c>
      <c r="E9" s="12">
        <v>84</v>
      </c>
    </row>
    <row r="10" spans="2:5" x14ac:dyDescent="0.2">
      <c r="B10" s="13" t="s">
        <v>10</v>
      </c>
      <c r="C10" s="13">
        <v>243</v>
      </c>
      <c r="D10" s="13">
        <v>62</v>
      </c>
      <c r="E10" s="13">
        <v>39</v>
      </c>
    </row>
    <row r="11" spans="2:5" x14ac:dyDescent="0.2">
      <c r="B11" s="13" t="s">
        <v>79</v>
      </c>
      <c r="C11" s="13">
        <v>53</v>
      </c>
      <c r="D11" s="13">
        <v>22</v>
      </c>
      <c r="E11" s="13">
        <v>12</v>
      </c>
    </row>
    <row r="12" spans="2:5" x14ac:dyDescent="0.2">
      <c r="B12" s="13" t="s">
        <v>11</v>
      </c>
      <c r="C12" s="13">
        <v>77</v>
      </c>
      <c r="D12" s="13" t="s">
        <v>66</v>
      </c>
      <c r="E12" s="13" t="s">
        <v>66</v>
      </c>
    </row>
    <row r="13" spans="2:5" x14ac:dyDescent="0.2">
      <c r="B13" s="13" t="s">
        <v>12</v>
      </c>
      <c r="C13" s="13">
        <v>362</v>
      </c>
      <c r="D13" s="13">
        <v>46</v>
      </c>
      <c r="E13" s="13">
        <v>28</v>
      </c>
    </row>
    <row r="14" spans="2:5" x14ac:dyDescent="0.2">
      <c r="B14" s="12" t="s">
        <v>13</v>
      </c>
      <c r="C14" s="12">
        <v>3703</v>
      </c>
      <c r="D14" s="12">
        <v>483</v>
      </c>
      <c r="E14" s="12">
        <v>267</v>
      </c>
    </row>
    <row r="15" spans="2:5" x14ac:dyDescent="0.2">
      <c r="B15" s="13" t="s">
        <v>14</v>
      </c>
      <c r="C15" s="13">
        <v>271</v>
      </c>
      <c r="D15" s="13" t="s">
        <v>66</v>
      </c>
      <c r="E15" s="13" t="s">
        <v>66</v>
      </c>
    </row>
    <row r="16" spans="2:5" x14ac:dyDescent="0.2">
      <c r="B16" s="13" t="s">
        <v>15</v>
      </c>
      <c r="C16" s="13">
        <v>3315</v>
      </c>
      <c r="D16" s="13">
        <v>476</v>
      </c>
      <c r="E16" s="13">
        <v>265</v>
      </c>
    </row>
    <row r="17" spans="2:5" x14ac:dyDescent="0.2">
      <c r="B17" s="13" t="s">
        <v>16</v>
      </c>
      <c r="C17" s="13">
        <v>117</v>
      </c>
      <c r="D17" s="13" t="s">
        <v>66</v>
      </c>
      <c r="E17" s="13" t="s">
        <v>66</v>
      </c>
    </row>
    <row r="18" spans="2:5" x14ac:dyDescent="0.2">
      <c r="B18" s="12" t="s">
        <v>54</v>
      </c>
      <c r="C18" s="12">
        <v>678</v>
      </c>
      <c r="D18" s="12">
        <v>142</v>
      </c>
      <c r="E18" s="12">
        <v>71</v>
      </c>
    </row>
    <row r="19" spans="2:5" x14ac:dyDescent="0.2">
      <c r="B19" s="13" t="s">
        <v>55</v>
      </c>
      <c r="C19" s="13">
        <v>678</v>
      </c>
      <c r="D19" s="13">
        <v>142</v>
      </c>
      <c r="E19" s="13">
        <v>71</v>
      </c>
    </row>
    <row r="20" spans="2:5" x14ac:dyDescent="0.2">
      <c r="B20" s="12" t="s">
        <v>17</v>
      </c>
      <c r="C20" s="12">
        <v>879</v>
      </c>
      <c r="D20" s="12">
        <v>318</v>
      </c>
      <c r="E20" s="12">
        <v>104</v>
      </c>
    </row>
    <row r="21" spans="2:5" x14ac:dyDescent="0.2">
      <c r="B21" s="13" t="s">
        <v>18</v>
      </c>
      <c r="C21" s="13">
        <v>338</v>
      </c>
      <c r="D21" s="13">
        <v>174</v>
      </c>
      <c r="E21" s="13">
        <v>44</v>
      </c>
    </row>
    <row r="22" spans="2:5" x14ac:dyDescent="0.2">
      <c r="B22" s="13" t="s">
        <v>19</v>
      </c>
      <c r="C22" s="13">
        <v>235</v>
      </c>
      <c r="D22" s="13">
        <v>51</v>
      </c>
      <c r="E22" s="13">
        <v>18</v>
      </c>
    </row>
    <row r="23" spans="2:5" x14ac:dyDescent="0.2">
      <c r="B23" s="13" t="s">
        <v>20</v>
      </c>
      <c r="C23" s="13">
        <v>125</v>
      </c>
      <c r="D23" s="13">
        <v>11</v>
      </c>
      <c r="E23" s="13" t="s">
        <v>66</v>
      </c>
    </row>
    <row r="24" spans="2:5" x14ac:dyDescent="0.2">
      <c r="B24" s="13" t="s">
        <v>21</v>
      </c>
      <c r="C24" s="13">
        <v>181</v>
      </c>
      <c r="D24" s="13">
        <v>82</v>
      </c>
      <c r="E24" s="13">
        <v>37</v>
      </c>
    </row>
    <row r="25" spans="2:5" x14ac:dyDescent="0.2">
      <c r="B25" s="12" t="s">
        <v>22</v>
      </c>
      <c r="C25" s="12">
        <v>2492</v>
      </c>
      <c r="D25" s="12">
        <v>439</v>
      </c>
      <c r="E25" s="12">
        <v>188</v>
      </c>
    </row>
    <row r="26" spans="2:5" x14ac:dyDescent="0.2">
      <c r="B26" s="13" t="s">
        <v>59</v>
      </c>
      <c r="C26" s="13">
        <v>248</v>
      </c>
      <c r="D26" s="13">
        <v>69</v>
      </c>
      <c r="E26" s="13">
        <v>26</v>
      </c>
    </row>
    <row r="27" spans="2:5" x14ac:dyDescent="0.2">
      <c r="B27" s="13" t="s">
        <v>60</v>
      </c>
      <c r="C27" s="13">
        <v>727</v>
      </c>
      <c r="D27" s="13">
        <v>119</v>
      </c>
      <c r="E27" s="13">
        <v>70</v>
      </c>
    </row>
    <row r="28" spans="2:5" x14ac:dyDescent="0.2">
      <c r="B28" s="13" t="s">
        <v>61</v>
      </c>
      <c r="C28" s="13">
        <v>307</v>
      </c>
      <c r="D28" s="13">
        <v>74</v>
      </c>
      <c r="E28" s="13">
        <v>27</v>
      </c>
    </row>
    <row r="29" spans="2:5" x14ac:dyDescent="0.2">
      <c r="B29" s="13" t="s">
        <v>56</v>
      </c>
      <c r="C29" s="13">
        <v>975</v>
      </c>
      <c r="D29" s="13">
        <v>92</v>
      </c>
      <c r="E29" s="13">
        <v>35</v>
      </c>
    </row>
    <row r="30" spans="2:5" x14ac:dyDescent="0.2">
      <c r="B30" s="13" t="s">
        <v>26</v>
      </c>
      <c r="C30" s="13">
        <v>235</v>
      </c>
      <c r="D30" s="13">
        <v>85</v>
      </c>
      <c r="E30" s="13">
        <v>30</v>
      </c>
    </row>
    <row r="31" spans="2:5" x14ac:dyDescent="0.2">
      <c r="B31" s="12" t="s">
        <v>27</v>
      </c>
      <c r="C31" s="12">
        <v>716</v>
      </c>
      <c r="D31" s="12">
        <v>368</v>
      </c>
      <c r="E31" s="12">
        <v>101</v>
      </c>
    </row>
    <row r="32" spans="2:5" x14ac:dyDescent="0.2">
      <c r="B32" s="13" t="s">
        <v>28</v>
      </c>
      <c r="C32" s="13">
        <v>441</v>
      </c>
      <c r="D32" s="13">
        <v>268</v>
      </c>
      <c r="E32" s="13">
        <v>52</v>
      </c>
    </row>
    <row r="33" spans="2:5" x14ac:dyDescent="0.2">
      <c r="B33" s="13" t="s">
        <v>29</v>
      </c>
      <c r="C33" s="13">
        <v>275</v>
      </c>
      <c r="D33" s="13">
        <v>100</v>
      </c>
      <c r="E33" s="13">
        <v>49</v>
      </c>
    </row>
    <row r="34" spans="2:5" x14ac:dyDescent="0.2">
      <c r="B34" s="12" t="s">
        <v>30</v>
      </c>
      <c r="C34" s="12">
        <v>787</v>
      </c>
      <c r="D34" s="12">
        <v>161</v>
      </c>
      <c r="E34" s="12">
        <v>87</v>
      </c>
    </row>
    <row r="35" spans="2:5" x14ac:dyDescent="0.2">
      <c r="B35" s="13" t="s">
        <v>31</v>
      </c>
      <c r="C35" s="13">
        <v>787</v>
      </c>
      <c r="D35" s="13">
        <v>161</v>
      </c>
      <c r="E35" s="13">
        <v>87</v>
      </c>
    </row>
    <row r="36" spans="2:5" x14ac:dyDescent="0.2">
      <c r="B36" s="12" t="s">
        <v>78</v>
      </c>
      <c r="C36" s="12">
        <v>347</v>
      </c>
      <c r="D36" s="12">
        <v>101</v>
      </c>
      <c r="E36" s="12">
        <v>32</v>
      </c>
    </row>
    <row r="37" spans="2:5" x14ac:dyDescent="0.2">
      <c r="B37" s="13" t="s">
        <v>77</v>
      </c>
      <c r="C37" s="13">
        <v>163</v>
      </c>
      <c r="D37" s="13">
        <v>37</v>
      </c>
      <c r="E37" s="13">
        <v>15</v>
      </c>
    </row>
    <row r="38" spans="2:5" x14ac:dyDescent="0.2">
      <c r="B38" s="13" t="s">
        <v>76</v>
      </c>
      <c r="C38" s="13">
        <v>184</v>
      </c>
      <c r="D38" s="13">
        <v>64</v>
      </c>
      <c r="E38" s="13">
        <v>17</v>
      </c>
    </row>
    <row r="39" spans="2:5" x14ac:dyDescent="0.2">
      <c r="B39" s="12" t="s">
        <v>32</v>
      </c>
      <c r="C39" s="12">
        <v>2491</v>
      </c>
      <c r="D39" s="12">
        <v>540</v>
      </c>
      <c r="E39" s="12">
        <v>196</v>
      </c>
    </row>
    <row r="40" spans="2:5" x14ac:dyDescent="0.2">
      <c r="B40" s="13" t="s">
        <v>33</v>
      </c>
      <c r="C40" s="13">
        <v>2491</v>
      </c>
      <c r="D40" s="13">
        <v>540</v>
      </c>
      <c r="E40" s="13">
        <v>196</v>
      </c>
    </row>
    <row r="41" spans="2:5" x14ac:dyDescent="0.2">
      <c r="B41" s="12" t="s">
        <v>34</v>
      </c>
      <c r="C41" s="12">
        <v>1864</v>
      </c>
      <c r="D41" s="12">
        <v>386</v>
      </c>
      <c r="E41" s="12">
        <v>205</v>
      </c>
    </row>
    <row r="42" spans="2:5" x14ac:dyDescent="0.2">
      <c r="B42" s="13" t="s">
        <v>35</v>
      </c>
      <c r="C42" s="13">
        <v>1864</v>
      </c>
      <c r="D42" s="13">
        <v>386</v>
      </c>
      <c r="E42" s="13">
        <v>205</v>
      </c>
    </row>
    <row r="43" spans="2:5" ht="13" customHeight="1" x14ac:dyDescent="0.2">
      <c r="B43" s="45" t="s">
        <v>36</v>
      </c>
      <c r="C43" s="40">
        <v>1240</v>
      </c>
      <c r="D43" s="40">
        <v>308</v>
      </c>
      <c r="E43" s="40">
        <v>160</v>
      </c>
    </row>
    <row r="44" spans="2:5" x14ac:dyDescent="0.2">
      <c r="B44" s="13" t="s">
        <v>62</v>
      </c>
      <c r="C44" s="41">
        <v>412</v>
      </c>
      <c r="D44" s="41">
        <v>83</v>
      </c>
      <c r="E44" s="41">
        <v>42</v>
      </c>
    </row>
    <row r="45" spans="2:5" x14ac:dyDescent="0.2">
      <c r="B45" s="13" t="s">
        <v>37</v>
      </c>
      <c r="C45" s="41">
        <v>471</v>
      </c>
      <c r="D45" s="41">
        <v>119</v>
      </c>
      <c r="E45" s="41">
        <v>69</v>
      </c>
    </row>
    <row r="46" spans="2:5" x14ac:dyDescent="0.2">
      <c r="B46" s="13" t="s">
        <v>38</v>
      </c>
      <c r="C46" s="41">
        <v>357</v>
      </c>
      <c r="D46" s="41">
        <v>106</v>
      </c>
      <c r="E46" s="41">
        <v>49</v>
      </c>
    </row>
    <row r="47" spans="2:5" x14ac:dyDescent="0.2">
      <c r="B47" s="12" t="s">
        <v>63</v>
      </c>
      <c r="C47" s="40">
        <v>1432</v>
      </c>
      <c r="D47" s="40">
        <v>292</v>
      </c>
      <c r="E47" s="40">
        <v>108</v>
      </c>
    </row>
    <row r="48" spans="2:5" x14ac:dyDescent="0.2">
      <c r="B48" s="13" t="s">
        <v>39</v>
      </c>
      <c r="C48" s="42">
        <v>224</v>
      </c>
      <c r="D48" s="42">
        <v>56</v>
      </c>
      <c r="E48" s="42">
        <v>32</v>
      </c>
    </row>
    <row r="49" spans="2:5" x14ac:dyDescent="0.2">
      <c r="B49" s="13" t="s">
        <v>40</v>
      </c>
      <c r="C49" s="42">
        <v>152</v>
      </c>
      <c r="D49" s="42">
        <v>53</v>
      </c>
      <c r="E49" s="42">
        <v>15</v>
      </c>
    </row>
    <row r="50" spans="2:5" x14ac:dyDescent="0.2">
      <c r="B50" s="13" t="s">
        <v>57</v>
      </c>
      <c r="C50" s="42">
        <v>1056</v>
      </c>
      <c r="D50" s="42">
        <v>183</v>
      </c>
      <c r="E50" s="42">
        <v>61</v>
      </c>
    </row>
    <row r="51" spans="2:5" x14ac:dyDescent="0.2">
      <c r="B51" s="57" t="s">
        <v>67</v>
      </c>
      <c r="C51" s="57">
        <v>530</v>
      </c>
      <c r="D51" s="57">
        <v>135</v>
      </c>
      <c r="E51" s="57">
        <v>33</v>
      </c>
    </row>
    <row r="52" spans="2:5" x14ac:dyDescent="0.2">
      <c r="B52" s="41" t="s">
        <v>75</v>
      </c>
      <c r="C52" s="41">
        <v>530</v>
      </c>
      <c r="D52" s="41">
        <v>135</v>
      </c>
      <c r="E52" s="41">
        <v>33</v>
      </c>
    </row>
    <row r="53" spans="2:5" x14ac:dyDescent="0.2">
      <c r="B53" s="12" t="s">
        <v>41</v>
      </c>
      <c r="C53" s="40">
        <v>673</v>
      </c>
      <c r="D53" s="40">
        <v>186</v>
      </c>
      <c r="E53" s="40">
        <v>86</v>
      </c>
    </row>
    <row r="54" spans="2:5" x14ac:dyDescent="0.2">
      <c r="B54" s="47" t="s">
        <v>82</v>
      </c>
      <c r="C54" s="47" t="s">
        <v>66</v>
      </c>
      <c r="D54" s="47" t="s">
        <v>66</v>
      </c>
      <c r="E54" s="47" t="s">
        <v>66</v>
      </c>
    </row>
    <row r="55" spans="2:5" x14ac:dyDescent="0.2">
      <c r="B55" s="13" t="s">
        <v>83</v>
      </c>
      <c r="C55" s="44">
        <v>187</v>
      </c>
      <c r="D55" s="44">
        <v>75</v>
      </c>
      <c r="E55" s="44">
        <v>36</v>
      </c>
    </row>
    <row r="56" spans="2:5" x14ac:dyDescent="0.2">
      <c r="B56" s="13" t="s">
        <v>64</v>
      </c>
      <c r="C56" s="44">
        <v>183</v>
      </c>
      <c r="D56" s="44">
        <v>61</v>
      </c>
      <c r="E56" s="44">
        <v>27</v>
      </c>
    </row>
    <row r="57" spans="2:5" x14ac:dyDescent="0.2">
      <c r="B57" s="44" t="s">
        <v>73</v>
      </c>
      <c r="C57" s="44">
        <v>294</v>
      </c>
      <c r="D57" s="44">
        <v>48</v>
      </c>
      <c r="E57" s="44">
        <v>23</v>
      </c>
    </row>
    <row r="58" spans="2:5" x14ac:dyDescent="0.2">
      <c r="B58" s="12" t="s">
        <v>47</v>
      </c>
      <c r="C58" s="12">
        <v>465</v>
      </c>
      <c r="D58" s="12">
        <v>175</v>
      </c>
      <c r="E58" s="12">
        <v>61</v>
      </c>
    </row>
    <row r="59" spans="2:5" x14ac:dyDescent="0.2">
      <c r="B59" s="36" t="s">
        <v>48</v>
      </c>
      <c r="C59" s="36">
        <v>465</v>
      </c>
      <c r="D59" s="36">
        <v>175</v>
      </c>
      <c r="E59" s="36">
        <v>61</v>
      </c>
    </row>
    <row r="60" spans="2:5" x14ac:dyDescent="0.2">
      <c r="B60" s="12" t="s">
        <v>49</v>
      </c>
      <c r="C60" s="12">
        <v>983</v>
      </c>
      <c r="D60" s="12">
        <v>280</v>
      </c>
      <c r="E60" s="12">
        <v>126</v>
      </c>
    </row>
    <row r="61" spans="2:5" x14ac:dyDescent="0.2">
      <c r="B61" s="13" t="s">
        <v>50</v>
      </c>
      <c r="C61" s="13">
        <v>443</v>
      </c>
      <c r="D61" s="13">
        <v>179</v>
      </c>
      <c r="E61" s="13">
        <v>78</v>
      </c>
    </row>
    <row r="62" spans="2:5" x14ac:dyDescent="0.2">
      <c r="B62" s="13" t="s">
        <v>65</v>
      </c>
      <c r="C62" s="13">
        <v>540</v>
      </c>
      <c r="D62" s="13">
        <v>101</v>
      </c>
      <c r="E62" s="13">
        <v>48</v>
      </c>
    </row>
    <row r="63" spans="2:5" x14ac:dyDescent="0.2">
      <c r="B63" s="14" t="s">
        <v>53</v>
      </c>
      <c r="C63" s="46">
        <f>SUM(C61:C62,C59,C54:C57,C52,C48:C50,C44:C46,C42,C40,C37:C38,C35,C32:C33,C26:C30,C21:C24,C19,C15:C17,C10:C13,C6:C8,C4)</f>
        <v>22357</v>
      </c>
      <c r="D63" s="46">
        <f>SUM(D61:D62,D59,D54:D57,D52,D48:D50,D44:D46,D42,D40,D37:D38,D35,D32:D33,D26:D30,D21:D24,D19,D15:D17,D10:D13,D6:D8,D4)</f>
        <v>4973</v>
      </c>
      <c r="E63" s="46">
        <f>SUM(E61:E62,E59,E54:E57,E52,E48:E50,E44:E46,E42,E40,E37:E38,E35,E32:E33,E26:E30,E21:E24,E19,E15:E17,E10:E13,E6:E8,E4)</f>
        <v>2112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8E3B9-71AB-CE40-8D04-F0BEF90E6CC7}">
  <dimension ref="A1:D334"/>
  <sheetViews>
    <sheetView tabSelected="1" topLeftCell="B24" zoomScale="125" zoomScaleNormal="223" workbookViewId="0">
      <selection activeCell="H62" sqref="H62"/>
    </sheetView>
  </sheetViews>
  <sheetFormatPr baseColWidth="10" defaultRowHeight="16" x14ac:dyDescent="0.2"/>
  <cols>
    <col min="1" max="1" width="49.5" style="29" bestFit="1" customWidth="1"/>
    <col min="2" max="4" width="21.33203125" style="30" customWidth="1"/>
    <col min="5" max="16384" width="10.83203125" style="29"/>
  </cols>
  <sheetData>
    <row r="1" spans="1:4" ht="24" x14ac:dyDescent="0.3">
      <c r="A1" s="35" t="s">
        <v>81</v>
      </c>
      <c r="B1" s="35" t="s">
        <v>0</v>
      </c>
      <c r="C1" s="35" t="s">
        <v>1</v>
      </c>
      <c r="D1" s="35" t="s">
        <v>58</v>
      </c>
    </row>
    <row r="2" spans="1:4" ht="21" x14ac:dyDescent="0.25">
      <c r="A2" s="34" t="s">
        <v>80</v>
      </c>
      <c r="B2" s="33">
        <v>22366</v>
      </c>
      <c r="C2" s="33">
        <v>4990</v>
      </c>
      <c r="D2" s="33">
        <v>2124</v>
      </c>
    </row>
    <row r="3" spans="1:4" ht="19" x14ac:dyDescent="0.25">
      <c r="A3" s="32" t="s">
        <v>3</v>
      </c>
      <c r="B3" s="31">
        <v>1788</v>
      </c>
      <c r="C3" s="31">
        <v>310</v>
      </c>
      <c r="D3" s="31">
        <v>146</v>
      </c>
    </row>
    <row r="4" spans="1:4" x14ac:dyDescent="0.2">
      <c r="A4" s="29" t="s">
        <v>4</v>
      </c>
      <c r="B4" s="30">
        <v>1788</v>
      </c>
      <c r="C4" s="30">
        <v>310</v>
      </c>
      <c r="D4" s="30">
        <v>146</v>
      </c>
    </row>
    <row r="5" spans="1:4" ht="19" x14ac:dyDescent="0.25">
      <c r="A5" s="32" t="s">
        <v>5</v>
      </c>
      <c r="B5" s="31">
        <v>563</v>
      </c>
      <c r="C5" s="31">
        <v>228</v>
      </c>
      <c r="D5" s="31">
        <v>69</v>
      </c>
    </row>
    <row r="6" spans="1:4" x14ac:dyDescent="0.2">
      <c r="A6" s="29" t="s">
        <v>6</v>
      </c>
      <c r="B6" s="30">
        <v>260</v>
      </c>
      <c r="C6" s="30">
        <v>61</v>
      </c>
      <c r="D6" s="30">
        <v>28</v>
      </c>
    </row>
    <row r="7" spans="1:4" x14ac:dyDescent="0.2">
      <c r="A7" s="29" t="s">
        <v>7</v>
      </c>
      <c r="B7" s="30">
        <v>195</v>
      </c>
      <c r="C7" s="30">
        <v>109</v>
      </c>
      <c r="D7" s="30">
        <v>28</v>
      </c>
    </row>
    <row r="8" spans="1:4" x14ac:dyDescent="0.2">
      <c r="A8" s="29" t="s">
        <v>8</v>
      </c>
      <c r="B8" s="30">
        <v>108</v>
      </c>
      <c r="C8" s="30">
        <v>58</v>
      </c>
      <c r="D8" s="30">
        <v>13</v>
      </c>
    </row>
    <row r="9" spans="1:4" ht="19" x14ac:dyDescent="0.25">
      <c r="A9" s="32" t="s">
        <v>9</v>
      </c>
      <c r="B9" s="31">
        <v>735</v>
      </c>
      <c r="C9" s="31">
        <v>138</v>
      </c>
      <c r="D9" s="31">
        <v>84</v>
      </c>
    </row>
    <row r="10" spans="1:4" x14ac:dyDescent="0.2">
      <c r="A10" s="29" t="s">
        <v>10</v>
      </c>
      <c r="B10" s="30">
        <v>243</v>
      </c>
      <c r="C10" s="30">
        <v>62</v>
      </c>
      <c r="D10" s="30">
        <v>39</v>
      </c>
    </row>
    <row r="11" spans="1:4" x14ac:dyDescent="0.2">
      <c r="A11" s="29" t="s">
        <v>79</v>
      </c>
      <c r="B11" s="30">
        <v>53</v>
      </c>
      <c r="C11" s="30">
        <v>22</v>
      </c>
      <c r="D11" s="30">
        <v>12</v>
      </c>
    </row>
    <row r="12" spans="1:4" x14ac:dyDescent="0.2">
      <c r="A12" s="29" t="s">
        <v>11</v>
      </c>
      <c r="B12" s="30">
        <v>77</v>
      </c>
      <c r="C12" s="30" t="s">
        <v>66</v>
      </c>
      <c r="D12" s="30" t="s">
        <v>66</v>
      </c>
    </row>
    <row r="13" spans="1:4" x14ac:dyDescent="0.2">
      <c r="A13" s="29" t="s">
        <v>12</v>
      </c>
      <c r="B13" s="30">
        <v>362</v>
      </c>
      <c r="C13" s="30">
        <v>46</v>
      </c>
      <c r="D13" s="30">
        <v>28</v>
      </c>
    </row>
    <row r="14" spans="1:4" ht="19" x14ac:dyDescent="0.25">
      <c r="A14" s="32" t="s">
        <v>13</v>
      </c>
      <c r="B14" s="31">
        <v>3703</v>
      </c>
      <c r="C14" s="31">
        <v>483</v>
      </c>
      <c r="D14" s="31">
        <v>267</v>
      </c>
    </row>
    <row r="15" spans="1:4" x14ac:dyDescent="0.2">
      <c r="A15" s="29" t="s">
        <v>14</v>
      </c>
      <c r="B15" s="30">
        <v>271</v>
      </c>
      <c r="C15" s="30" t="s">
        <v>66</v>
      </c>
      <c r="D15" s="30" t="s">
        <v>66</v>
      </c>
    </row>
    <row r="16" spans="1:4" x14ac:dyDescent="0.2">
      <c r="A16" s="29" t="s">
        <v>15</v>
      </c>
      <c r="B16" s="30">
        <v>3315</v>
      </c>
      <c r="C16" s="30">
        <v>476</v>
      </c>
      <c r="D16" s="30">
        <v>265</v>
      </c>
    </row>
    <row r="17" spans="1:4" x14ac:dyDescent="0.2">
      <c r="A17" s="29" t="s">
        <v>16</v>
      </c>
      <c r="B17" s="30">
        <v>117</v>
      </c>
      <c r="C17" s="30" t="s">
        <v>66</v>
      </c>
      <c r="D17" s="30" t="s">
        <v>66</v>
      </c>
    </row>
    <row r="18" spans="1:4" ht="19" x14ac:dyDescent="0.25">
      <c r="A18" s="32" t="s">
        <v>54</v>
      </c>
      <c r="B18" s="31">
        <v>678</v>
      </c>
      <c r="C18" s="31">
        <v>142</v>
      </c>
      <c r="D18" s="31">
        <v>71</v>
      </c>
    </row>
    <row r="19" spans="1:4" x14ac:dyDescent="0.2">
      <c r="A19" s="29" t="s">
        <v>55</v>
      </c>
      <c r="B19" s="30">
        <v>678</v>
      </c>
      <c r="C19" s="30">
        <v>142</v>
      </c>
      <c r="D19" s="30">
        <v>71</v>
      </c>
    </row>
    <row r="20" spans="1:4" ht="19" x14ac:dyDescent="0.25">
      <c r="A20" s="32" t="s">
        <v>17</v>
      </c>
      <c r="B20" s="31">
        <v>879</v>
      </c>
      <c r="C20" s="31">
        <v>318</v>
      </c>
      <c r="D20" s="31">
        <v>104</v>
      </c>
    </row>
    <row r="21" spans="1:4" x14ac:dyDescent="0.2">
      <c r="A21" s="29" t="s">
        <v>18</v>
      </c>
      <c r="B21" s="30">
        <v>338</v>
      </c>
      <c r="C21" s="30">
        <v>174</v>
      </c>
      <c r="D21" s="30">
        <v>44</v>
      </c>
    </row>
    <row r="22" spans="1:4" x14ac:dyDescent="0.2">
      <c r="A22" s="29" t="s">
        <v>19</v>
      </c>
      <c r="B22" s="30">
        <v>235</v>
      </c>
      <c r="C22" s="30">
        <v>51</v>
      </c>
      <c r="D22" s="30">
        <v>18</v>
      </c>
    </row>
    <row r="23" spans="1:4" x14ac:dyDescent="0.2">
      <c r="A23" s="29" t="s">
        <v>20</v>
      </c>
      <c r="B23" s="30">
        <v>125</v>
      </c>
      <c r="C23" s="30">
        <v>11</v>
      </c>
      <c r="D23" s="30" t="s">
        <v>66</v>
      </c>
    </row>
    <row r="24" spans="1:4" x14ac:dyDescent="0.2">
      <c r="A24" s="29" t="s">
        <v>21</v>
      </c>
      <c r="B24" s="30">
        <v>181</v>
      </c>
      <c r="C24" s="30">
        <v>82</v>
      </c>
      <c r="D24" s="30">
        <v>37</v>
      </c>
    </row>
    <row r="25" spans="1:4" ht="19" x14ac:dyDescent="0.25">
      <c r="A25" s="32" t="s">
        <v>22</v>
      </c>
      <c r="B25" s="31">
        <v>2492</v>
      </c>
      <c r="C25" s="31">
        <v>439</v>
      </c>
      <c r="D25" s="31">
        <v>188</v>
      </c>
    </row>
    <row r="26" spans="1:4" x14ac:dyDescent="0.2">
      <c r="A26" s="29" t="s">
        <v>59</v>
      </c>
      <c r="B26" s="30">
        <v>248</v>
      </c>
      <c r="C26" s="30">
        <v>69</v>
      </c>
      <c r="D26" s="30">
        <v>26</v>
      </c>
    </row>
    <row r="27" spans="1:4" x14ac:dyDescent="0.2">
      <c r="A27" s="29" t="s">
        <v>60</v>
      </c>
      <c r="B27" s="30">
        <v>727</v>
      </c>
      <c r="C27" s="30">
        <v>119</v>
      </c>
      <c r="D27" s="30">
        <v>70</v>
      </c>
    </row>
    <row r="28" spans="1:4" x14ac:dyDescent="0.2">
      <c r="A28" s="29" t="s">
        <v>61</v>
      </c>
      <c r="B28" s="30">
        <v>307</v>
      </c>
      <c r="C28" s="30">
        <v>74</v>
      </c>
      <c r="D28" s="30">
        <v>27</v>
      </c>
    </row>
    <row r="29" spans="1:4" x14ac:dyDescent="0.2">
      <c r="A29" s="29" t="s">
        <v>56</v>
      </c>
      <c r="B29" s="30">
        <v>975</v>
      </c>
      <c r="C29" s="30">
        <v>92</v>
      </c>
      <c r="D29" s="30">
        <v>35</v>
      </c>
    </row>
    <row r="30" spans="1:4" x14ac:dyDescent="0.2">
      <c r="A30" s="29" t="s">
        <v>26</v>
      </c>
      <c r="B30" s="30">
        <v>235</v>
      </c>
      <c r="C30" s="30">
        <v>85</v>
      </c>
      <c r="D30" s="30">
        <v>30</v>
      </c>
    </row>
    <row r="31" spans="1:4" ht="19" x14ac:dyDescent="0.25">
      <c r="A31" s="32" t="s">
        <v>27</v>
      </c>
      <c r="B31" s="31">
        <v>716</v>
      </c>
      <c r="C31" s="31">
        <v>368</v>
      </c>
      <c r="D31" s="31">
        <v>101</v>
      </c>
    </row>
    <row r="32" spans="1:4" x14ac:dyDescent="0.2">
      <c r="A32" s="29" t="s">
        <v>28</v>
      </c>
      <c r="B32" s="30">
        <v>441</v>
      </c>
      <c r="C32" s="30">
        <v>268</v>
      </c>
      <c r="D32" s="30">
        <v>52</v>
      </c>
    </row>
    <row r="33" spans="1:4" x14ac:dyDescent="0.2">
      <c r="A33" s="29" t="s">
        <v>29</v>
      </c>
      <c r="B33" s="30">
        <v>275</v>
      </c>
      <c r="C33" s="30">
        <v>100</v>
      </c>
      <c r="D33" s="30">
        <v>49</v>
      </c>
    </row>
    <row r="34" spans="1:4" ht="19" x14ac:dyDescent="0.25">
      <c r="A34" s="32" t="s">
        <v>30</v>
      </c>
      <c r="B34" s="31">
        <v>787</v>
      </c>
      <c r="C34" s="31">
        <v>161</v>
      </c>
      <c r="D34" s="31">
        <v>87</v>
      </c>
    </row>
    <row r="35" spans="1:4" x14ac:dyDescent="0.2">
      <c r="A35" s="29" t="s">
        <v>31</v>
      </c>
      <c r="B35" s="30">
        <v>787</v>
      </c>
      <c r="C35" s="30">
        <v>161</v>
      </c>
      <c r="D35" s="30">
        <v>87</v>
      </c>
    </row>
    <row r="36" spans="1:4" ht="19" x14ac:dyDescent="0.25">
      <c r="A36" s="32" t="s">
        <v>78</v>
      </c>
      <c r="B36" s="31">
        <v>347</v>
      </c>
      <c r="C36" s="31">
        <v>101</v>
      </c>
      <c r="D36" s="31">
        <v>32</v>
      </c>
    </row>
    <row r="37" spans="1:4" x14ac:dyDescent="0.2">
      <c r="A37" s="29" t="s">
        <v>77</v>
      </c>
      <c r="B37" s="30">
        <v>163</v>
      </c>
      <c r="C37" s="30">
        <v>37</v>
      </c>
      <c r="D37" s="30">
        <v>15</v>
      </c>
    </row>
    <row r="38" spans="1:4" x14ac:dyDescent="0.2">
      <c r="A38" s="29" t="s">
        <v>76</v>
      </c>
      <c r="B38" s="30">
        <v>184</v>
      </c>
      <c r="C38" s="30">
        <v>64</v>
      </c>
      <c r="D38" s="30">
        <v>17</v>
      </c>
    </row>
    <row r="39" spans="1:4" ht="19" x14ac:dyDescent="0.25">
      <c r="A39" s="32" t="s">
        <v>32</v>
      </c>
      <c r="B39" s="31">
        <v>2491</v>
      </c>
      <c r="C39" s="31">
        <v>540</v>
      </c>
      <c r="D39" s="31">
        <v>196</v>
      </c>
    </row>
    <row r="40" spans="1:4" x14ac:dyDescent="0.2">
      <c r="A40" s="29" t="s">
        <v>33</v>
      </c>
      <c r="B40" s="30">
        <v>2491</v>
      </c>
      <c r="C40" s="30">
        <v>540</v>
      </c>
      <c r="D40" s="30">
        <v>196</v>
      </c>
    </row>
    <row r="41" spans="1:4" ht="19" x14ac:dyDescent="0.25">
      <c r="A41" s="32" t="s">
        <v>34</v>
      </c>
      <c r="B41" s="31">
        <v>1864</v>
      </c>
      <c r="C41" s="31">
        <v>386</v>
      </c>
      <c r="D41" s="31">
        <v>205</v>
      </c>
    </row>
    <row r="42" spans="1:4" x14ac:dyDescent="0.2">
      <c r="A42" s="29" t="s">
        <v>35</v>
      </c>
      <c r="B42" s="30">
        <v>1864</v>
      </c>
      <c r="C42" s="30">
        <v>386</v>
      </c>
      <c r="D42" s="30">
        <v>205</v>
      </c>
    </row>
    <row r="43" spans="1:4" ht="13" customHeight="1" x14ac:dyDescent="0.25">
      <c r="A43" s="32" t="s">
        <v>36</v>
      </c>
      <c r="B43" s="31">
        <v>1240</v>
      </c>
      <c r="C43" s="31">
        <v>308</v>
      </c>
      <c r="D43" s="31">
        <v>160</v>
      </c>
    </row>
    <row r="44" spans="1:4" x14ac:dyDescent="0.2">
      <c r="A44" s="29" t="s">
        <v>62</v>
      </c>
      <c r="B44" s="30">
        <v>412</v>
      </c>
      <c r="C44" s="30">
        <v>83</v>
      </c>
      <c r="D44" s="30">
        <v>42</v>
      </c>
    </row>
    <row r="45" spans="1:4" x14ac:dyDescent="0.2">
      <c r="A45" s="29" t="s">
        <v>37</v>
      </c>
      <c r="B45" s="30">
        <v>471</v>
      </c>
      <c r="C45" s="30">
        <v>119</v>
      </c>
      <c r="D45" s="30">
        <v>69</v>
      </c>
    </row>
    <row r="46" spans="1:4" x14ac:dyDescent="0.2">
      <c r="A46" s="29" t="s">
        <v>38</v>
      </c>
      <c r="B46" s="30">
        <v>357</v>
      </c>
      <c r="C46" s="30">
        <v>106</v>
      </c>
      <c r="D46" s="30">
        <v>49</v>
      </c>
    </row>
    <row r="47" spans="1:4" ht="19" x14ac:dyDescent="0.25">
      <c r="A47" s="32" t="s">
        <v>63</v>
      </c>
      <c r="B47" s="31">
        <v>1432</v>
      </c>
      <c r="C47" s="31">
        <v>292</v>
      </c>
      <c r="D47" s="31">
        <v>108</v>
      </c>
    </row>
    <row r="48" spans="1:4" x14ac:dyDescent="0.2">
      <c r="A48" s="29" t="s">
        <v>39</v>
      </c>
      <c r="B48" s="30">
        <v>224</v>
      </c>
      <c r="C48" s="30">
        <v>56</v>
      </c>
      <c r="D48" s="30">
        <v>32</v>
      </c>
    </row>
    <row r="49" spans="1:4" x14ac:dyDescent="0.2">
      <c r="A49" s="29" t="s">
        <v>40</v>
      </c>
      <c r="B49" s="30">
        <v>152</v>
      </c>
      <c r="C49" s="30">
        <v>53</v>
      </c>
      <c r="D49" s="30">
        <v>15</v>
      </c>
    </row>
    <row r="50" spans="1:4" x14ac:dyDescent="0.2">
      <c r="A50" s="29" t="s">
        <v>57</v>
      </c>
      <c r="B50" s="30">
        <v>1056</v>
      </c>
      <c r="C50" s="30">
        <v>183</v>
      </c>
      <c r="D50" s="30">
        <v>61</v>
      </c>
    </row>
    <row r="51" spans="1:4" ht="19" x14ac:dyDescent="0.25">
      <c r="A51" s="32" t="s">
        <v>67</v>
      </c>
      <c r="B51" s="31">
        <v>530</v>
      </c>
      <c r="C51" s="31">
        <v>135</v>
      </c>
      <c r="D51" s="31">
        <v>33</v>
      </c>
    </row>
    <row r="52" spans="1:4" x14ac:dyDescent="0.2">
      <c r="A52" s="29" t="s">
        <v>75</v>
      </c>
      <c r="B52" s="30">
        <v>530</v>
      </c>
      <c r="C52" s="30">
        <v>135</v>
      </c>
      <c r="D52" s="30">
        <v>33</v>
      </c>
    </row>
    <row r="53" spans="1:4" ht="19" x14ac:dyDescent="0.25">
      <c r="A53" s="32" t="s">
        <v>41</v>
      </c>
      <c r="B53" s="31">
        <v>673</v>
      </c>
      <c r="C53" s="31">
        <v>186</v>
      </c>
      <c r="D53" s="31">
        <v>86</v>
      </c>
    </row>
    <row r="54" spans="1:4" x14ac:dyDescent="0.2">
      <c r="A54" s="29" t="s">
        <v>82</v>
      </c>
      <c r="B54" s="30" t="s">
        <v>66</v>
      </c>
      <c r="C54" s="30" t="s">
        <v>66</v>
      </c>
      <c r="D54" s="30" t="s">
        <v>66</v>
      </c>
    </row>
    <row r="55" spans="1:4" x14ac:dyDescent="0.2">
      <c r="A55" s="29" t="s">
        <v>74</v>
      </c>
      <c r="B55" s="30">
        <v>187</v>
      </c>
      <c r="C55" s="30">
        <v>75</v>
      </c>
      <c r="D55" s="30">
        <v>36</v>
      </c>
    </row>
    <row r="56" spans="1:4" x14ac:dyDescent="0.2">
      <c r="A56" s="29" t="s">
        <v>64</v>
      </c>
      <c r="B56" s="30">
        <v>183</v>
      </c>
      <c r="C56" s="30">
        <v>61</v>
      </c>
      <c r="D56" s="30">
        <v>27</v>
      </c>
    </row>
    <row r="57" spans="1:4" x14ac:dyDescent="0.2">
      <c r="A57" s="29" t="s">
        <v>73</v>
      </c>
      <c r="B57" s="30">
        <v>294</v>
      </c>
      <c r="C57" s="30">
        <v>48</v>
      </c>
      <c r="D57" s="30">
        <v>23</v>
      </c>
    </row>
    <row r="58" spans="1:4" x14ac:dyDescent="0.2">
      <c r="A58" s="29" t="s">
        <v>44</v>
      </c>
      <c r="B58" s="30" t="s">
        <v>66</v>
      </c>
      <c r="C58" s="30" t="s">
        <v>66</v>
      </c>
      <c r="D58" s="30" t="s">
        <v>66</v>
      </c>
    </row>
    <row r="59" spans="1:4" ht="19" x14ac:dyDescent="0.25">
      <c r="A59" s="32" t="s">
        <v>47</v>
      </c>
      <c r="B59" s="31">
        <v>465</v>
      </c>
      <c r="C59" s="31">
        <v>175</v>
      </c>
      <c r="D59" s="31">
        <v>61</v>
      </c>
    </row>
    <row r="60" spans="1:4" x14ac:dyDescent="0.2">
      <c r="A60" s="29" t="s">
        <v>48</v>
      </c>
      <c r="B60" s="30">
        <v>465</v>
      </c>
      <c r="C60" s="30">
        <v>175</v>
      </c>
      <c r="D60" s="30">
        <v>61</v>
      </c>
    </row>
    <row r="61" spans="1:4" ht="19" x14ac:dyDescent="0.25">
      <c r="A61" s="32" t="s">
        <v>49</v>
      </c>
      <c r="B61" s="31">
        <v>983</v>
      </c>
      <c r="C61" s="31">
        <v>280</v>
      </c>
      <c r="D61" s="31">
        <v>126</v>
      </c>
    </row>
    <row r="62" spans="1:4" x14ac:dyDescent="0.2">
      <c r="A62" s="29" t="s">
        <v>50</v>
      </c>
      <c r="B62" s="30">
        <v>443</v>
      </c>
      <c r="C62" s="30">
        <v>179</v>
      </c>
      <c r="D62" s="30">
        <v>78</v>
      </c>
    </row>
    <row r="63" spans="1:4" x14ac:dyDescent="0.2">
      <c r="A63" s="29" t="s">
        <v>71</v>
      </c>
      <c r="B63" s="30">
        <v>540</v>
      </c>
      <c r="C63" s="30">
        <v>101</v>
      </c>
      <c r="D63" s="30">
        <v>48</v>
      </c>
    </row>
    <row r="64" spans="1:4" x14ac:dyDescent="0.2">
      <c r="B64" s="29"/>
      <c r="C64" s="29"/>
      <c r="D64" s="29"/>
    </row>
    <row r="65" s="29" customFormat="1" x14ac:dyDescent="0.2"/>
    <row r="66" s="29" customFormat="1" x14ac:dyDescent="0.2"/>
    <row r="67" s="29" customFormat="1" x14ac:dyDescent="0.2"/>
    <row r="68" s="29" customFormat="1" x14ac:dyDescent="0.2"/>
    <row r="69" s="29" customFormat="1" x14ac:dyDescent="0.2"/>
    <row r="70" s="29" customFormat="1" x14ac:dyDescent="0.2"/>
    <row r="71" s="29" customFormat="1" x14ac:dyDescent="0.2"/>
    <row r="72" s="29" customFormat="1" x14ac:dyDescent="0.2"/>
    <row r="73" s="29" customFormat="1" x14ac:dyDescent="0.2"/>
    <row r="74" s="29" customFormat="1" x14ac:dyDescent="0.2"/>
    <row r="75" s="29" customFormat="1" x14ac:dyDescent="0.2"/>
    <row r="76" s="29" customFormat="1" x14ac:dyDescent="0.2"/>
    <row r="77" s="29" customFormat="1" x14ac:dyDescent="0.2"/>
    <row r="78" s="29" customFormat="1" x14ac:dyDescent="0.2"/>
    <row r="79" s="29" customFormat="1" x14ac:dyDescent="0.2"/>
    <row r="80" s="29" customFormat="1" x14ac:dyDescent="0.2"/>
    <row r="81" s="29" customFormat="1" x14ac:dyDescent="0.2"/>
    <row r="82" s="29" customFormat="1" x14ac:dyDescent="0.2"/>
    <row r="83" s="29" customFormat="1" x14ac:dyDescent="0.2"/>
    <row r="84" s="29" customFormat="1" x14ac:dyDescent="0.2"/>
    <row r="85" s="29" customFormat="1" x14ac:dyDescent="0.2"/>
    <row r="86" s="29" customFormat="1" x14ac:dyDescent="0.2"/>
    <row r="87" s="29" customFormat="1" x14ac:dyDescent="0.2"/>
    <row r="88" s="29" customFormat="1" x14ac:dyDescent="0.2"/>
    <row r="89" s="29" customFormat="1" x14ac:dyDescent="0.2"/>
    <row r="90" s="29" customFormat="1" x14ac:dyDescent="0.2"/>
    <row r="91" s="29" customFormat="1" x14ac:dyDescent="0.2"/>
    <row r="92" s="29" customFormat="1" x14ac:dyDescent="0.2"/>
    <row r="93" s="29" customFormat="1" x14ac:dyDescent="0.2"/>
    <row r="94" s="29" customFormat="1" x14ac:dyDescent="0.2"/>
    <row r="95" s="29" customFormat="1" x14ac:dyDescent="0.2"/>
    <row r="96" s="29" customFormat="1" x14ac:dyDescent="0.2"/>
    <row r="97" s="29" customFormat="1" x14ac:dyDescent="0.2"/>
    <row r="98" s="29" customFormat="1" x14ac:dyDescent="0.2"/>
    <row r="99" s="29" customFormat="1" x14ac:dyDescent="0.2"/>
    <row r="100" s="29" customFormat="1" x14ac:dyDescent="0.2"/>
    <row r="101" s="29" customFormat="1" x14ac:dyDescent="0.2"/>
    <row r="102" s="29" customFormat="1" x14ac:dyDescent="0.2"/>
    <row r="103" s="29" customFormat="1" x14ac:dyDescent="0.2"/>
    <row r="104" s="29" customFormat="1" x14ac:dyDescent="0.2"/>
    <row r="105" s="29" customFormat="1" x14ac:dyDescent="0.2"/>
    <row r="106" s="29" customFormat="1" x14ac:dyDescent="0.2"/>
    <row r="107" s="29" customFormat="1" x14ac:dyDescent="0.2"/>
    <row r="108" s="29" customFormat="1" x14ac:dyDescent="0.2"/>
    <row r="109" s="29" customFormat="1" x14ac:dyDescent="0.2"/>
    <row r="110" s="29" customFormat="1" x14ac:dyDescent="0.2"/>
    <row r="111" s="29" customFormat="1" x14ac:dyDescent="0.2"/>
    <row r="112" s="29" customFormat="1" x14ac:dyDescent="0.2"/>
    <row r="113" s="29" customFormat="1" x14ac:dyDescent="0.2"/>
    <row r="114" s="29" customFormat="1" x14ac:dyDescent="0.2"/>
    <row r="115" s="29" customFormat="1" x14ac:dyDescent="0.2"/>
    <row r="116" s="29" customFormat="1" x14ac:dyDescent="0.2"/>
    <row r="117" s="29" customFormat="1" x14ac:dyDescent="0.2"/>
    <row r="118" s="29" customFormat="1" x14ac:dyDescent="0.2"/>
    <row r="119" s="29" customFormat="1" x14ac:dyDescent="0.2"/>
    <row r="120" s="29" customFormat="1" x14ac:dyDescent="0.2"/>
    <row r="121" s="29" customFormat="1" x14ac:dyDescent="0.2"/>
    <row r="122" s="29" customFormat="1" x14ac:dyDescent="0.2"/>
    <row r="123" s="29" customFormat="1" x14ac:dyDescent="0.2"/>
    <row r="124" s="29" customFormat="1" x14ac:dyDescent="0.2"/>
    <row r="125" s="29" customFormat="1" x14ac:dyDescent="0.2"/>
    <row r="126" s="29" customFormat="1" x14ac:dyDescent="0.2"/>
    <row r="127" s="29" customFormat="1" x14ac:dyDescent="0.2"/>
    <row r="128" s="29" customFormat="1" x14ac:dyDescent="0.2"/>
    <row r="129" s="29" customFormat="1" x14ac:dyDescent="0.2"/>
    <row r="130" s="29" customFormat="1" x14ac:dyDescent="0.2"/>
    <row r="131" s="29" customFormat="1" x14ac:dyDescent="0.2"/>
    <row r="132" s="29" customFormat="1" x14ac:dyDescent="0.2"/>
    <row r="133" s="29" customFormat="1" x14ac:dyDescent="0.2"/>
    <row r="134" s="29" customFormat="1" x14ac:dyDescent="0.2"/>
    <row r="135" s="29" customFormat="1" x14ac:dyDescent="0.2"/>
    <row r="136" s="29" customFormat="1" x14ac:dyDescent="0.2"/>
    <row r="137" s="29" customFormat="1" x14ac:dyDescent="0.2"/>
    <row r="138" s="29" customFormat="1" x14ac:dyDescent="0.2"/>
    <row r="139" s="29" customFormat="1" x14ac:dyDescent="0.2"/>
    <row r="140" s="29" customFormat="1" x14ac:dyDescent="0.2"/>
    <row r="141" s="29" customFormat="1" x14ac:dyDescent="0.2"/>
    <row r="142" s="29" customFormat="1" x14ac:dyDescent="0.2"/>
    <row r="143" s="29" customFormat="1" x14ac:dyDescent="0.2"/>
    <row r="144" s="29" customFormat="1" x14ac:dyDescent="0.2"/>
    <row r="145" s="29" customFormat="1" x14ac:dyDescent="0.2"/>
    <row r="146" s="29" customFormat="1" x14ac:dyDescent="0.2"/>
    <row r="147" s="29" customFormat="1" x14ac:dyDescent="0.2"/>
    <row r="148" s="29" customFormat="1" x14ac:dyDescent="0.2"/>
    <row r="149" s="29" customFormat="1" x14ac:dyDescent="0.2"/>
    <row r="150" s="29" customFormat="1" x14ac:dyDescent="0.2"/>
    <row r="151" s="29" customFormat="1" x14ac:dyDescent="0.2"/>
    <row r="152" s="29" customFormat="1" x14ac:dyDescent="0.2"/>
    <row r="153" s="29" customFormat="1" x14ac:dyDescent="0.2"/>
    <row r="154" s="29" customFormat="1" x14ac:dyDescent="0.2"/>
    <row r="155" s="29" customFormat="1" x14ac:dyDescent="0.2"/>
    <row r="156" s="29" customFormat="1" x14ac:dyDescent="0.2"/>
    <row r="157" s="29" customFormat="1" x14ac:dyDescent="0.2"/>
    <row r="158" s="29" customFormat="1" x14ac:dyDescent="0.2"/>
    <row r="159" s="29" customFormat="1" x14ac:dyDescent="0.2"/>
    <row r="160" s="29" customFormat="1" x14ac:dyDescent="0.2"/>
    <row r="161" s="29" customFormat="1" x14ac:dyDescent="0.2"/>
    <row r="162" s="29" customFormat="1" x14ac:dyDescent="0.2"/>
    <row r="163" s="29" customFormat="1" x14ac:dyDescent="0.2"/>
    <row r="164" s="29" customFormat="1" x14ac:dyDescent="0.2"/>
    <row r="165" s="29" customFormat="1" x14ac:dyDescent="0.2"/>
    <row r="166" s="29" customFormat="1" x14ac:dyDescent="0.2"/>
    <row r="167" s="29" customFormat="1" x14ac:dyDescent="0.2"/>
    <row r="168" s="29" customFormat="1" x14ac:dyDescent="0.2"/>
    <row r="169" s="29" customFormat="1" x14ac:dyDescent="0.2"/>
    <row r="170" s="29" customFormat="1" x14ac:dyDescent="0.2"/>
    <row r="171" s="29" customFormat="1" x14ac:dyDescent="0.2"/>
    <row r="172" s="29" customFormat="1" x14ac:dyDescent="0.2"/>
    <row r="173" s="29" customFormat="1" x14ac:dyDescent="0.2"/>
    <row r="174" s="29" customFormat="1" x14ac:dyDescent="0.2"/>
    <row r="175" s="29" customFormat="1" x14ac:dyDescent="0.2"/>
    <row r="176" s="29" customFormat="1" x14ac:dyDescent="0.2"/>
    <row r="177" s="29" customFormat="1" x14ac:dyDescent="0.2"/>
    <row r="178" s="29" customFormat="1" x14ac:dyDescent="0.2"/>
    <row r="179" s="29" customFormat="1" x14ac:dyDescent="0.2"/>
    <row r="180" s="29" customFormat="1" x14ac:dyDescent="0.2"/>
    <row r="181" s="29" customFormat="1" x14ac:dyDescent="0.2"/>
    <row r="182" s="29" customFormat="1" x14ac:dyDescent="0.2"/>
    <row r="183" s="29" customFormat="1" x14ac:dyDescent="0.2"/>
    <row r="184" s="29" customFormat="1" x14ac:dyDescent="0.2"/>
    <row r="185" s="29" customFormat="1" x14ac:dyDescent="0.2"/>
    <row r="186" s="29" customFormat="1" x14ac:dyDescent="0.2"/>
    <row r="187" s="29" customFormat="1" x14ac:dyDescent="0.2"/>
    <row r="188" s="29" customFormat="1" x14ac:dyDescent="0.2"/>
    <row r="189" s="29" customFormat="1" x14ac:dyDescent="0.2"/>
    <row r="190" s="29" customFormat="1" x14ac:dyDescent="0.2"/>
    <row r="191" s="29" customFormat="1" x14ac:dyDescent="0.2"/>
    <row r="192" s="29" customFormat="1" x14ac:dyDescent="0.2"/>
    <row r="193" s="29" customFormat="1" x14ac:dyDescent="0.2"/>
    <row r="194" s="29" customFormat="1" x14ac:dyDescent="0.2"/>
    <row r="195" s="29" customFormat="1" x14ac:dyDescent="0.2"/>
    <row r="196" s="29" customFormat="1" x14ac:dyDescent="0.2"/>
    <row r="197" s="29" customFormat="1" x14ac:dyDescent="0.2"/>
    <row r="198" s="29" customFormat="1" x14ac:dyDescent="0.2"/>
    <row r="199" s="29" customFormat="1" x14ac:dyDescent="0.2"/>
    <row r="200" s="29" customFormat="1" x14ac:dyDescent="0.2"/>
    <row r="201" s="29" customFormat="1" x14ac:dyDescent="0.2"/>
    <row r="202" s="29" customFormat="1" x14ac:dyDescent="0.2"/>
    <row r="203" s="29" customFormat="1" x14ac:dyDescent="0.2"/>
    <row r="204" s="29" customFormat="1" x14ac:dyDescent="0.2"/>
    <row r="205" s="29" customFormat="1" x14ac:dyDescent="0.2"/>
    <row r="206" s="29" customFormat="1" x14ac:dyDescent="0.2"/>
    <row r="207" s="29" customFormat="1" x14ac:dyDescent="0.2"/>
    <row r="208" s="29" customFormat="1" x14ac:dyDescent="0.2"/>
    <row r="209" s="29" customFormat="1" x14ac:dyDescent="0.2"/>
    <row r="210" s="29" customFormat="1" x14ac:dyDescent="0.2"/>
    <row r="211" s="29" customFormat="1" x14ac:dyDescent="0.2"/>
    <row r="212" s="29" customFormat="1" x14ac:dyDescent="0.2"/>
    <row r="213" s="29" customFormat="1" x14ac:dyDescent="0.2"/>
    <row r="214" s="29" customFormat="1" x14ac:dyDescent="0.2"/>
    <row r="215" s="29" customFormat="1" x14ac:dyDescent="0.2"/>
    <row r="216" s="29" customFormat="1" x14ac:dyDescent="0.2"/>
    <row r="217" s="29" customFormat="1" x14ac:dyDescent="0.2"/>
    <row r="218" s="29" customFormat="1" x14ac:dyDescent="0.2"/>
    <row r="219" s="29" customFormat="1" x14ac:dyDescent="0.2"/>
    <row r="220" s="29" customFormat="1" x14ac:dyDescent="0.2"/>
    <row r="221" s="29" customFormat="1" x14ac:dyDescent="0.2"/>
    <row r="222" s="29" customFormat="1" x14ac:dyDescent="0.2"/>
    <row r="223" s="29" customFormat="1" x14ac:dyDescent="0.2"/>
    <row r="224" s="29" customFormat="1" x14ac:dyDescent="0.2"/>
    <row r="225" s="29" customFormat="1" x14ac:dyDescent="0.2"/>
    <row r="226" s="29" customFormat="1" x14ac:dyDescent="0.2"/>
    <row r="227" s="29" customFormat="1" x14ac:dyDescent="0.2"/>
    <row r="228" s="29" customFormat="1" x14ac:dyDescent="0.2"/>
    <row r="229" s="29" customFormat="1" x14ac:dyDescent="0.2"/>
    <row r="230" s="29" customFormat="1" x14ac:dyDescent="0.2"/>
    <row r="231" s="29" customFormat="1" x14ac:dyDescent="0.2"/>
    <row r="232" s="29" customFormat="1" x14ac:dyDescent="0.2"/>
    <row r="233" s="29" customFormat="1" x14ac:dyDescent="0.2"/>
    <row r="234" s="29" customFormat="1" x14ac:dyDescent="0.2"/>
    <row r="235" s="29" customFormat="1" x14ac:dyDescent="0.2"/>
    <row r="236" s="29" customFormat="1" x14ac:dyDescent="0.2"/>
    <row r="237" s="29" customFormat="1" x14ac:dyDescent="0.2"/>
    <row r="238" s="29" customFormat="1" x14ac:dyDescent="0.2"/>
    <row r="239" s="29" customFormat="1" x14ac:dyDescent="0.2"/>
    <row r="240" s="29" customFormat="1" x14ac:dyDescent="0.2"/>
    <row r="241" s="29" customFormat="1" x14ac:dyDescent="0.2"/>
    <row r="242" s="29" customFormat="1" x14ac:dyDescent="0.2"/>
    <row r="243" s="29" customFormat="1" x14ac:dyDescent="0.2"/>
    <row r="244" s="29" customFormat="1" x14ac:dyDescent="0.2"/>
    <row r="245" s="29" customFormat="1" x14ac:dyDescent="0.2"/>
    <row r="246" s="29" customFormat="1" x14ac:dyDescent="0.2"/>
    <row r="247" s="29" customFormat="1" x14ac:dyDescent="0.2"/>
    <row r="248" s="29" customFormat="1" x14ac:dyDescent="0.2"/>
    <row r="249" s="29" customFormat="1" x14ac:dyDescent="0.2"/>
    <row r="250" s="29" customFormat="1" x14ac:dyDescent="0.2"/>
    <row r="251" s="29" customFormat="1" x14ac:dyDescent="0.2"/>
    <row r="252" s="29" customFormat="1" x14ac:dyDescent="0.2"/>
    <row r="253" s="29" customFormat="1" x14ac:dyDescent="0.2"/>
    <row r="254" s="29" customFormat="1" x14ac:dyDescent="0.2"/>
    <row r="255" s="29" customFormat="1" x14ac:dyDescent="0.2"/>
    <row r="256" s="29" customFormat="1" x14ac:dyDescent="0.2"/>
    <row r="257" s="29" customFormat="1" x14ac:dyDescent="0.2"/>
    <row r="258" s="29" customFormat="1" x14ac:dyDescent="0.2"/>
    <row r="259" s="29" customFormat="1" x14ac:dyDescent="0.2"/>
    <row r="260" s="29" customFormat="1" x14ac:dyDescent="0.2"/>
    <row r="261" s="29" customFormat="1" x14ac:dyDescent="0.2"/>
    <row r="262" s="29" customFormat="1" x14ac:dyDescent="0.2"/>
    <row r="263" s="29" customFormat="1" x14ac:dyDescent="0.2"/>
    <row r="264" s="29" customFormat="1" x14ac:dyDescent="0.2"/>
    <row r="265" s="29" customFormat="1" x14ac:dyDescent="0.2"/>
    <row r="266" s="29" customFormat="1" x14ac:dyDescent="0.2"/>
    <row r="267" s="29" customFormat="1" x14ac:dyDescent="0.2"/>
    <row r="268" s="29" customFormat="1" x14ac:dyDescent="0.2"/>
    <row r="269" s="29" customFormat="1" x14ac:dyDescent="0.2"/>
    <row r="270" s="29" customFormat="1" x14ac:dyDescent="0.2"/>
    <row r="271" s="29" customFormat="1" x14ac:dyDescent="0.2"/>
    <row r="272" s="29" customFormat="1" x14ac:dyDescent="0.2"/>
    <row r="273" s="29" customFormat="1" x14ac:dyDescent="0.2"/>
    <row r="274" s="29" customFormat="1" x14ac:dyDescent="0.2"/>
    <row r="275" s="29" customFormat="1" x14ac:dyDescent="0.2"/>
    <row r="276" s="29" customFormat="1" x14ac:dyDescent="0.2"/>
    <row r="277" s="29" customFormat="1" x14ac:dyDescent="0.2"/>
    <row r="278" s="29" customFormat="1" x14ac:dyDescent="0.2"/>
    <row r="279" s="29" customFormat="1" x14ac:dyDescent="0.2"/>
    <row r="280" s="29" customFormat="1" x14ac:dyDescent="0.2"/>
    <row r="281" s="29" customFormat="1" x14ac:dyDescent="0.2"/>
    <row r="282" s="29" customFormat="1" x14ac:dyDescent="0.2"/>
    <row r="283" s="29" customFormat="1" x14ac:dyDescent="0.2"/>
    <row r="284" s="29" customFormat="1" x14ac:dyDescent="0.2"/>
    <row r="285" s="29" customFormat="1" x14ac:dyDescent="0.2"/>
    <row r="286" s="29" customFormat="1" x14ac:dyDescent="0.2"/>
    <row r="287" s="29" customFormat="1" x14ac:dyDescent="0.2"/>
    <row r="288" s="29" customFormat="1" x14ac:dyDescent="0.2"/>
    <row r="289" s="29" customFormat="1" x14ac:dyDescent="0.2"/>
    <row r="290" s="29" customFormat="1" x14ac:dyDescent="0.2"/>
    <row r="291" s="29" customFormat="1" x14ac:dyDescent="0.2"/>
    <row r="292" s="29" customFormat="1" x14ac:dyDescent="0.2"/>
    <row r="293" s="29" customFormat="1" x14ac:dyDescent="0.2"/>
    <row r="294" s="29" customFormat="1" x14ac:dyDescent="0.2"/>
    <row r="295" s="29" customFormat="1" x14ac:dyDescent="0.2"/>
    <row r="296" s="29" customFormat="1" x14ac:dyDescent="0.2"/>
    <row r="297" s="29" customFormat="1" x14ac:dyDescent="0.2"/>
    <row r="298" s="29" customFormat="1" x14ac:dyDescent="0.2"/>
    <row r="299" s="29" customFormat="1" x14ac:dyDescent="0.2"/>
    <row r="300" s="29" customFormat="1" x14ac:dyDescent="0.2"/>
    <row r="301" s="29" customFormat="1" x14ac:dyDescent="0.2"/>
    <row r="302" s="29" customFormat="1" x14ac:dyDescent="0.2"/>
    <row r="303" s="29" customFormat="1" x14ac:dyDescent="0.2"/>
    <row r="304" s="29" customFormat="1" x14ac:dyDescent="0.2"/>
    <row r="305" s="29" customFormat="1" x14ac:dyDescent="0.2"/>
    <row r="306" s="29" customFormat="1" x14ac:dyDescent="0.2"/>
    <row r="307" s="29" customFormat="1" x14ac:dyDescent="0.2"/>
    <row r="308" s="29" customFormat="1" x14ac:dyDescent="0.2"/>
    <row r="309" s="29" customFormat="1" x14ac:dyDescent="0.2"/>
    <row r="310" s="29" customFormat="1" x14ac:dyDescent="0.2"/>
    <row r="311" s="29" customFormat="1" x14ac:dyDescent="0.2"/>
    <row r="312" s="29" customFormat="1" x14ac:dyDescent="0.2"/>
    <row r="313" s="29" customFormat="1" x14ac:dyDescent="0.2"/>
    <row r="314" s="29" customFormat="1" x14ac:dyDescent="0.2"/>
    <row r="315" s="29" customFormat="1" x14ac:dyDescent="0.2"/>
    <row r="316" s="29" customFormat="1" x14ac:dyDescent="0.2"/>
    <row r="317" s="29" customFormat="1" x14ac:dyDescent="0.2"/>
    <row r="318" s="29" customFormat="1" x14ac:dyDescent="0.2"/>
    <row r="319" s="29" customFormat="1" x14ac:dyDescent="0.2"/>
    <row r="320" s="29" customFormat="1" x14ac:dyDescent="0.2"/>
    <row r="321" s="29" customFormat="1" x14ac:dyDescent="0.2"/>
    <row r="322" s="29" customFormat="1" x14ac:dyDescent="0.2"/>
    <row r="323" s="29" customFormat="1" x14ac:dyDescent="0.2"/>
    <row r="324" s="29" customFormat="1" x14ac:dyDescent="0.2"/>
    <row r="325" s="29" customFormat="1" x14ac:dyDescent="0.2"/>
    <row r="326" s="29" customFormat="1" x14ac:dyDescent="0.2"/>
    <row r="327" s="29" customFormat="1" x14ac:dyDescent="0.2"/>
    <row r="328" s="29" customFormat="1" x14ac:dyDescent="0.2"/>
    <row r="329" s="29" customFormat="1" x14ac:dyDescent="0.2"/>
    <row r="330" s="29" customFormat="1" x14ac:dyDescent="0.2"/>
    <row r="331" s="29" customFormat="1" x14ac:dyDescent="0.2"/>
    <row r="332" s="29" customFormat="1" x14ac:dyDescent="0.2"/>
    <row r="333" s="29" customFormat="1" x14ac:dyDescent="0.2"/>
    <row r="334" s="29" customFormat="1" x14ac:dyDescent="0.2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A9C93-594C-A746-BA64-EDC102F63CD7}">
  <dimension ref="B2:E64"/>
  <sheetViews>
    <sheetView zoomScale="125" workbookViewId="0">
      <selection activeCell="C3" sqref="C3"/>
    </sheetView>
  </sheetViews>
  <sheetFormatPr baseColWidth="10" defaultColWidth="8.83203125" defaultRowHeight="15" x14ac:dyDescent="0.2"/>
  <cols>
    <col min="2" max="2" width="44.83203125" bestFit="1" customWidth="1"/>
    <col min="3" max="6" width="12.6640625" customWidth="1"/>
  </cols>
  <sheetData>
    <row r="2" spans="2:5" x14ac:dyDescent="0.2">
      <c r="B2" s="11"/>
      <c r="C2" s="11" t="s">
        <v>0</v>
      </c>
      <c r="D2" s="11" t="s">
        <v>1</v>
      </c>
      <c r="E2" s="11" t="s">
        <v>58</v>
      </c>
    </row>
    <row r="3" spans="2:5" x14ac:dyDescent="0.2">
      <c r="B3" s="45" t="s">
        <v>3</v>
      </c>
      <c r="C3" s="59">
        <v>1881</v>
      </c>
      <c r="D3" s="59">
        <v>176</v>
      </c>
      <c r="E3" s="59">
        <v>115</v>
      </c>
    </row>
    <row r="4" spans="2:5" x14ac:dyDescent="0.2">
      <c r="B4" s="48" t="s">
        <v>4</v>
      </c>
      <c r="C4" s="42">
        <v>1881</v>
      </c>
      <c r="D4" s="42">
        <v>176</v>
      </c>
      <c r="E4" s="42">
        <v>115</v>
      </c>
    </row>
    <row r="5" spans="2:5" x14ac:dyDescent="0.2">
      <c r="B5" s="45" t="s">
        <v>5</v>
      </c>
      <c r="C5" s="62">
        <f>SUM(C6:C9)</f>
        <v>1623</v>
      </c>
      <c r="D5" s="62">
        <f>SUM(D6:D8)</f>
        <v>165</v>
      </c>
      <c r="E5" s="62">
        <f>SUM(E6:E8)</f>
        <v>60</v>
      </c>
    </row>
    <row r="6" spans="2:5" x14ac:dyDescent="0.2">
      <c r="B6" s="48" t="s">
        <v>6</v>
      </c>
      <c r="C6" s="48">
        <v>249</v>
      </c>
      <c r="D6" s="48">
        <v>29</v>
      </c>
      <c r="E6" s="48">
        <v>20</v>
      </c>
    </row>
    <row r="7" spans="2:5" x14ac:dyDescent="0.2">
      <c r="B7" s="48" t="s">
        <v>7</v>
      </c>
      <c r="C7" s="48">
        <v>202</v>
      </c>
      <c r="D7" s="48">
        <v>82</v>
      </c>
      <c r="E7" s="48">
        <v>24</v>
      </c>
    </row>
    <row r="8" spans="2:5" x14ac:dyDescent="0.2">
      <c r="B8" s="48" t="s">
        <v>8</v>
      </c>
      <c r="C8" s="60">
        <v>157</v>
      </c>
      <c r="D8" s="60">
        <v>54</v>
      </c>
      <c r="E8" s="60">
        <v>16</v>
      </c>
    </row>
    <row r="9" spans="2:5" x14ac:dyDescent="0.2">
      <c r="B9" s="45" t="s">
        <v>9</v>
      </c>
      <c r="C9" s="62">
        <f>SUM(C10:C13)</f>
        <v>1015</v>
      </c>
      <c r="D9" s="62">
        <f>SUM(D10:D13)</f>
        <v>104</v>
      </c>
      <c r="E9" s="62">
        <f>SUM(E10:E13)</f>
        <v>71</v>
      </c>
    </row>
    <row r="10" spans="2:5" x14ac:dyDescent="0.2">
      <c r="B10" s="48" t="s">
        <v>10</v>
      </c>
      <c r="C10" s="60">
        <v>352</v>
      </c>
      <c r="D10" s="60">
        <v>50</v>
      </c>
      <c r="E10" s="60">
        <v>33</v>
      </c>
    </row>
    <row r="11" spans="2:5" x14ac:dyDescent="0.2">
      <c r="B11" s="48" t="s">
        <v>79</v>
      </c>
      <c r="C11" s="60">
        <v>80</v>
      </c>
      <c r="D11" s="60">
        <v>15</v>
      </c>
      <c r="E11" s="60">
        <v>10</v>
      </c>
    </row>
    <row r="12" spans="2:5" x14ac:dyDescent="0.2">
      <c r="B12" s="48" t="s">
        <v>11</v>
      </c>
      <c r="C12" s="60">
        <v>17</v>
      </c>
      <c r="D12" s="60">
        <v>0</v>
      </c>
      <c r="E12" s="60">
        <v>0</v>
      </c>
    </row>
    <row r="13" spans="2:5" x14ac:dyDescent="0.2">
      <c r="B13" s="48" t="s">
        <v>12</v>
      </c>
      <c r="C13" s="60">
        <v>566</v>
      </c>
      <c r="D13" s="60">
        <v>39</v>
      </c>
      <c r="E13" s="60">
        <v>28</v>
      </c>
    </row>
    <row r="14" spans="2:5" x14ac:dyDescent="0.2">
      <c r="B14" s="45" t="s">
        <v>13</v>
      </c>
      <c r="C14" s="62">
        <f>SUM(C15:C18)</f>
        <v>5255</v>
      </c>
      <c r="D14" s="62">
        <f>SUM(D15:D18)</f>
        <v>426</v>
      </c>
      <c r="E14" s="62">
        <f>SUM(E15:E18)</f>
        <v>255</v>
      </c>
    </row>
    <row r="15" spans="2:5" x14ac:dyDescent="0.2">
      <c r="B15" s="48" t="s">
        <v>14</v>
      </c>
      <c r="C15" s="60">
        <v>260</v>
      </c>
      <c r="D15" s="60">
        <v>0</v>
      </c>
      <c r="E15" s="60">
        <v>0</v>
      </c>
    </row>
    <row r="16" spans="2:5" x14ac:dyDescent="0.2">
      <c r="B16" s="48" t="s">
        <v>15</v>
      </c>
      <c r="C16" s="61">
        <v>4107</v>
      </c>
      <c r="D16" s="60">
        <v>335</v>
      </c>
      <c r="E16" s="60">
        <v>202</v>
      </c>
    </row>
    <row r="17" spans="2:5" x14ac:dyDescent="0.2">
      <c r="B17" s="48" t="s">
        <v>16</v>
      </c>
      <c r="C17" s="60">
        <v>6</v>
      </c>
      <c r="D17" s="60">
        <v>0</v>
      </c>
      <c r="E17" s="60">
        <v>0</v>
      </c>
    </row>
    <row r="18" spans="2:5" x14ac:dyDescent="0.2">
      <c r="B18" s="45" t="s">
        <v>54</v>
      </c>
      <c r="C18" s="62">
        <v>882</v>
      </c>
      <c r="D18" s="62">
        <v>91</v>
      </c>
      <c r="E18" s="62">
        <v>53</v>
      </c>
    </row>
    <row r="19" spans="2:5" x14ac:dyDescent="0.2">
      <c r="B19" s="48" t="s">
        <v>55</v>
      </c>
      <c r="C19" s="60">
        <v>882</v>
      </c>
      <c r="D19" s="60">
        <v>91</v>
      </c>
      <c r="E19" s="60">
        <v>53</v>
      </c>
    </row>
    <row r="20" spans="2:5" x14ac:dyDescent="0.2">
      <c r="B20" s="45" t="s">
        <v>17</v>
      </c>
      <c r="C20" s="62">
        <f>SUM(C21:C24)</f>
        <v>960</v>
      </c>
      <c r="D20" s="62">
        <f>SUM(D21:D24)</f>
        <v>201</v>
      </c>
      <c r="E20" s="62">
        <f>SUM(E21:E24)</f>
        <v>81</v>
      </c>
    </row>
    <row r="21" spans="2:5" x14ac:dyDescent="0.2">
      <c r="B21" s="48" t="s">
        <v>18</v>
      </c>
      <c r="C21" s="60">
        <v>359</v>
      </c>
      <c r="D21" s="60">
        <v>108</v>
      </c>
      <c r="E21" s="60">
        <v>31</v>
      </c>
    </row>
    <row r="22" spans="2:5" x14ac:dyDescent="0.2">
      <c r="B22" s="48" t="s">
        <v>19</v>
      </c>
      <c r="C22" s="60">
        <v>235</v>
      </c>
      <c r="D22" s="60">
        <v>34</v>
      </c>
      <c r="E22" s="60">
        <v>17</v>
      </c>
    </row>
    <row r="23" spans="2:5" x14ac:dyDescent="0.2">
      <c r="B23" s="48" t="s">
        <v>20</v>
      </c>
      <c r="C23" s="60">
        <v>158</v>
      </c>
      <c r="D23" s="60">
        <v>14</v>
      </c>
      <c r="E23" s="60">
        <v>8</v>
      </c>
    </row>
    <row r="24" spans="2:5" x14ac:dyDescent="0.2">
      <c r="B24" s="48" t="s">
        <v>21</v>
      </c>
      <c r="C24" s="60">
        <v>208</v>
      </c>
      <c r="D24" s="60">
        <v>45</v>
      </c>
      <c r="E24" s="60">
        <v>25</v>
      </c>
    </row>
    <row r="25" spans="2:5" x14ac:dyDescent="0.2">
      <c r="B25" s="45" t="s">
        <v>22</v>
      </c>
      <c r="C25" s="62">
        <f>SUM(C26:C30)</f>
        <v>2913</v>
      </c>
      <c r="D25" s="62">
        <f>SUM(D26:D30)</f>
        <v>313</v>
      </c>
      <c r="E25" s="62">
        <f>SUM(E26:E30)</f>
        <v>153</v>
      </c>
    </row>
    <row r="26" spans="2:5" x14ac:dyDescent="0.2">
      <c r="B26" s="48" t="s">
        <v>59</v>
      </c>
      <c r="C26" s="60">
        <v>322</v>
      </c>
      <c r="D26" s="60">
        <v>49</v>
      </c>
      <c r="E26" s="60">
        <v>32</v>
      </c>
    </row>
    <row r="27" spans="2:5" x14ac:dyDescent="0.2">
      <c r="B27" s="48" t="s">
        <v>60</v>
      </c>
      <c r="C27" s="41">
        <v>856</v>
      </c>
      <c r="D27" s="41">
        <v>81</v>
      </c>
      <c r="E27" s="41">
        <v>47</v>
      </c>
    </row>
    <row r="28" spans="2:5" x14ac:dyDescent="0.2">
      <c r="B28" s="48" t="s">
        <v>61</v>
      </c>
      <c r="C28" s="60">
        <v>400</v>
      </c>
      <c r="D28" s="60">
        <v>52</v>
      </c>
      <c r="E28" s="60">
        <v>15</v>
      </c>
    </row>
    <row r="29" spans="2:5" x14ac:dyDescent="0.2">
      <c r="B29" s="48" t="s">
        <v>56</v>
      </c>
      <c r="C29" s="61">
        <v>1072</v>
      </c>
      <c r="D29" s="60">
        <v>78</v>
      </c>
      <c r="E29" s="60">
        <v>35</v>
      </c>
    </row>
    <row r="30" spans="2:5" x14ac:dyDescent="0.2">
      <c r="B30" s="48" t="s">
        <v>26</v>
      </c>
      <c r="C30" s="60">
        <v>263</v>
      </c>
      <c r="D30" s="60">
        <v>53</v>
      </c>
      <c r="E30" s="60">
        <v>24</v>
      </c>
    </row>
    <row r="31" spans="2:5" x14ac:dyDescent="0.2">
      <c r="B31" s="45" t="s">
        <v>27</v>
      </c>
      <c r="C31" s="45">
        <f>SUM(C32,C33)</f>
        <v>735</v>
      </c>
      <c r="D31" s="45">
        <f>SUM(D32,D33)</f>
        <v>218</v>
      </c>
      <c r="E31" s="45">
        <f>SUM(E32,E33)</f>
        <v>69</v>
      </c>
    </row>
    <row r="32" spans="2:5" x14ac:dyDescent="0.2">
      <c r="B32" s="48" t="s">
        <v>28</v>
      </c>
      <c r="C32" s="60">
        <v>455</v>
      </c>
      <c r="D32" s="60">
        <v>154</v>
      </c>
      <c r="E32" s="60">
        <v>43</v>
      </c>
    </row>
    <row r="33" spans="2:5" x14ac:dyDescent="0.2">
      <c r="B33" s="48" t="s">
        <v>29</v>
      </c>
      <c r="C33" s="60">
        <v>280</v>
      </c>
      <c r="D33" s="60">
        <v>64</v>
      </c>
      <c r="E33" s="60">
        <v>26</v>
      </c>
    </row>
    <row r="34" spans="2:5" x14ac:dyDescent="0.2">
      <c r="B34" s="45" t="s">
        <v>30</v>
      </c>
      <c r="C34" s="45">
        <f>SUM(C35)</f>
        <v>849</v>
      </c>
      <c r="D34" s="45">
        <f>SUM(D35)</f>
        <v>100</v>
      </c>
      <c r="E34" s="45">
        <f>SUM(E35)</f>
        <v>44</v>
      </c>
    </row>
    <row r="35" spans="2:5" x14ac:dyDescent="0.2">
      <c r="B35" s="48" t="s">
        <v>31</v>
      </c>
      <c r="C35" s="60">
        <v>849</v>
      </c>
      <c r="D35" s="60">
        <v>100</v>
      </c>
      <c r="E35" s="60">
        <v>44</v>
      </c>
    </row>
    <row r="36" spans="2:5" x14ac:dyDescent="0.2">
      <c r="B36" s="45" t="s">
        <v>78</v>
      </c>
      <c r="C36" s="45">
        <f>SUM(C37,C38)</f>
        <v>314</v>
      </c>
      <c r="D36" s="45">
        <f>SUM(D37,D38)</f>
        <v>88</v>
      </c>
      <c r="E36" s="45">
        <f>SUM(E37,E38)</f>
        <v>34</v>
      </c>
    </row>
    <row r="37" spans="2:5" x14ac:dyDescent="0.2">
      <c r="B37" s="48" t="s">
        <v>77</v>
      </c>
      <c r="C37" s="60">
        <v>121</v>
      </c>
      <c r="D37" s="60">
        <v>33</v>
      </c>
      <c r="E37" s="60">
        <v>17</v>
      </c>
    </row>
    <row r="38" spans="2:5" x14ac:dyDescent="0.2">
      <c r="B38" s="48" t="s">
        <v>76</v>
      </c>
      <c r="C38" s="60">
        <v>193</v>
      </c>
      <c r="D38" s="60">
        <v>55</v>
      </c>
      <c r="E38" s="60">
        <v>17</v>
      </c>
    </row>
    <row r="39" spans="2:5" x14ac:dyDescent="0.2">
      <c r="B39" s="45" t="s">
        <v>32</v>
      </c>
      <c r="C39" s="45">
        <f>SUM(C40)</f>
        <v>2667</v>
      </c>
      <c r="D39" s="45">
        <f>SUM(D40)</f>
        <v>381</v>
      </c>
      <c r="E39" s="45">
        <f>SUM(E40)</f>
        <v>171</v>
      </c>
    </row>
    <row r="40" spans="2:5" x14ac:dyDescent="0.2">
      <c r="B40" s="48" t="s">
        <v>33</v>
      </c>
      <c r="C40" s="61">
        <v>2667</v>
      </c>
      <c r="D40" s="60">
        <v>381</v>
      </c>
      <c r="E40" s="60">
        <v>171</v>
      </c>
    </row>
    <row r="41" spans="2:5" x14ac:dyDescent="0.2">
      <c r="B41" s="45" t="s">
        <v>34</v>
      </c>
      <c r="C41" s="45">
        <f>SUM(C42)</f>
        <v>2303</v>
      </c>
      <c r="D41" s="45">
        <f>SUM(D42)</f>
        <v>226</v>
      </c>
      <c r="E41" s="45">
        <f>SUM(E42)</f>
        <v>144</v>
      </c>
    </row>
    <row r="42" spans="2:5" x14ac:dyDescent="0.2">
      <c r="B42" s="48" t="s">
        <v>35</v>
      </c>
      <c r="C42" s="61">
        <v>2303</v>
      </c>
      <c r="D42" s="60">
        <v>226</v>
      </c>
      <c r="E42" s="60">
        <v>144</v>
      </c>
    </row>
    <row r="43" spans="2:5" ht="13" customHeight="1" x14ac:dyDescent="0.2">
      <c r="B43" s="45" t="s">
        <v>36</v>
      </c>
      <c r="C43" s="62">
        <f>SUM(C44:C46)</f>
        <v>1400</v>
      </c>
      <c r="D43" s="62">
        <f>SUM(D44:D46)</f>
        <v>241</v>
      </c>
      <c r="E43" s="62">
        <f>SUM(E44:E46)</f>
        <v>161</v>
      </c>
    </row>
    <row r="44" spans="2:5" x14ac:dyDescent="0.2">
      <c r="B44" s="48" t="s">
        <v>62</v>
      </c>
      <c r="C44" s="60">
        <v>414</v>
      </c>
      <c r="D44" s="60">
        <v>56</v>
      </c>
      <c r="E44" s="60">
        <v>37</v>
      </c>
    </row>
    <row r="45" spans="2:5" x14ac:dyDescent="0.2">
      <c r="B45" s="48" t="s">
        <v>37</v>
      </c>
      <c r="C45" s="60">
        <v>602</v>
      </c>
      <c r="D45" s="60">
        <v>106</v>
      </c>
      <c r="E45" s="60">
        <v>80</v>
      </c>
    </row>
    <row r="46" spans="2:5" x14ac:dyDescent="0.2">
      <c r="B46" s="48" t="s">
        <v>38</v>
      </c>
      <c r="C46" s="60">
        <v>384</v>
      </c>
      <c r="D46" s="60">
        <v>79</v>
      </c>
      <c r="E46" s="60">
        <v>44</v>
      </c>
    </row>
    <row r="47" spans="2:5" x14ac:dyDescent="0.2">
      <c r="B47" s="45" t="s">
        <v>63</v>
      </c>
      <c r="C47" s="62">
        <f>SUM(C48:C50)</f>
        <v>1531</v>
      </c>
      <c r="D47" s="62">
        <f>SUM(D48:D50)</f>
        <v>207</v>
      </c>
      <c r="E47" s="62">
        <f>SUM(E48:E50)</f>
        <v>90</v>
      </c>
    </row>
    <row r="48" spans="2:5" x14ac:dyDescent="0.2">
      <c r="B48" s="48" t="s">
        <v>39</v>
      </c>
      <c r="C48" s="41">
        <v>288</v>
      </c>
      <c r="D48" s="41">
        <v>52</v>
      </c>
      <c r="E48" s="41">
        <v>33</v>
      </c>
    </row>
    <row r="49" spans="2:5" x14ac:dyDescent="0.2">
      <c r="B49" s="48" t="s">
        <v>40</v>
      </c>
      <c r="C49" s="41">
        <v>141</v>
      </c>
      <c r="D49" s="41">
        <v>48</v>
      </c>
      <c r="E49" s="41">
        <v>19</v>
      </c>
    </row>
    <row r="50" spans="2:5" x14ac:dyDescent="0.2">
      <c r="B50" s="48" t="s">
        <v>57</v>
      </c>
      <c r="C50" s="61">
        <v>1102</v>
      </c>
      <c r="D50" s="60">
        <v>107</v>
      </c>
      <c r="E50" s="60">
        <v>38</v>
      </c>
    </row>
    <row r="51" spans="2:5" x14ac:dyDescent="0.2">
      <c r="B51" s="57" t="s">
        <v>67</v>
      </c>
      <c r="C51" s="45">
        <f>SUM(C52)</f>
        <v>670</v>
      </c>
      <c r="D51" s="45">
        <f>SUM(D52)</f>
        <v>112</v>
      </c>
      <c r="E51" s="45">
        <f>SUM(E52)</f>
        <v>40</v>
      </c>
    </row>
    <row r="52" spans="2:5" x14ac:dyDescent="0.2">
      <c r="B52" s="41" t="s">
        <v>75</v>
      </c>
      <c r="C52" s="60">
        <v>670</v>
      </c>
      <c r="D52" s="60">
        <v>112</v>
      </c>
      <c r="E52" s="60">
        <v>40</v>
      </c>
    </row>
    <row r="53" spans="2:5" x14ac:dyDescent="0.2">
      <c r="B53" s="45" t="s">
        <v>41</v>
      </c>
      <c r="C53" s="40">
        <f>SUM(C54:C57)</f>
        <v>908</v>
      </c>
      <c r="D53" s="40">
        <f>SUM(D54:D57)</f>
        <v>101</v>
      </c>
      <c r="E53" s="40">
        <f>SUM(E54:E57)</f>
        <v>47</v>
      </c>
    </row>
    <row r="54" spans="2:5" x14ac:dyDescent="0.2">
      <c r="B54" s="42" t="s">
        <v>82</v>
      </c>
      <c r="C54" s="60">
        <v>0</v>
      </c>
      <c r="D54" s="60">
        <v>0</v>
      </c>
      <c r="E54" s="60">
        <v>0</v>
      </c>
    </row>
    <row r="55" spans="2:5" x14ac:dyDescent="0.2">
      <c r="B55" s="48" t="s">
        <v>83</v>
      </c>
      <c r="C55" s="60">
        <v>246</v>
      </c>
      <c r="D55" s="60">
        <v>39</v>
      </c>
      <c r="E55" s="60">
        <v>15</v>
      </c>
    </row>
    <row r="56" spans="2:5" x14ac:dyDescent="0.2">
      <c r="B56" s="48" t="s">
        <v>64</v>
      </c>
      <c r="C56" s="60">
        <v>256</v>
      </c>
      <c r="D56" s="60">
        <v>29</v>
      </c>
      <c r="E56" s="60">
        <v>14</v>
      </c>
    </row>
    <row r="57" spans="2:5" x14ac:dyDescent="0.2">
      <c r="B57" s="42" t="s">
        <v>73</v>
      </c>
      <c r="C57" s="60">
        <v>406</v>
      </c>
      <c r="D57" s="60">
        <v>33</v>
      </c>
      <c r="E57" s="60">
        <v>18</v>
      </c>
    </row>
    <row r="58" spans="2:5" x14ac:dyDescent="0.2">
      <c r="B58" s="45" t="s">
        <v>47</v>
      </c>
      <c r="C58" s="45">
        <f>SUM(C59)</f>
        <v>525</v>
      </c>
      <c r="D58" s="45">
        <f>SUM(D59)</f>
        <v>112</v>
      </c>
      <c r="E58" s="45">
        <f>SUM(E59)</f>
        <v>53</v>
      </c>
    </row>
    <row r="59" spans="2:5" x14ac:dyDescent="0.2">
      <c r="B59" s="48" t="s">
        <v>48</v>
      </c>
      <c r="C59" s="60">
        <v>525</v>
      </c>
      <c r="D59" s="60">
        <v>112</v>
      </c>
      <c r="E59" s="60">
        <v>53</v>
      </c>
    </row>
    <row r="60" spans="2:5" x14ac:dyDescent="0.2">
      <c r="B60" s="45" t="s">
        <v>49</v>
      </c>
      <c r="C60" s="62">
        <f>SUM(C61:C63)</f>
        <v>1507</v>
      </c>
      <c r="D60" s="62">
        <f>SUM(D61:D63)</f>
        <v>249</v>
      </c>
      <c r="E60" s="62">
        <f>SUM(E61:E63)</f>
        <v>153</v>
      </c>
    </row>
    <row r="61" spans="2:5" x14ac:dyDescent="0.2">
      <c r="B61" s="48" t="s">
        <v>50</v>
      </c>
      <c r="C61" s="60">
        <v>478</v>
      </c>
      <c r="D61" s="60">
        <v>124</v>
      </c>
      <c r="E61" s="60">
        <v>81</v>
      </c>
    </row>
    <row r="62" spans="2:5" x14ac:dyDescent="0.2">
      <c r="B62" s="60" t="s">
        <v>72</v>
      </c>
      <c r="C62" s="60">
        <v>460</v>
      </c>
      <c r="D62" s="60">
        <v>47</v>
      </c>
      <c r="E62" s="60">
        <v>21</v>
      </c>
    </row>
    <row r="63" spans="2:5" x14ac:dyDescent="0.2">
      <c r="B63" s="48" t="s">
        <v>65</v>
      </c>
      <c r="C63" s="60">
        <v>569</v>
      </c>
      <c r="D63" s="60">
        <v>78</v>
      </c>
      <c r="E63" s="60">
        <v>51</v>
      </c>
    </row>
    <row r="64" spans="2:5" x14ac:dyDescent="0.2">
      <c r="B64" s="53" t="s">
        <v>53</v>
      </c>
      <c r="C64" s="63">
        <f>SUM(C61:C63,C59,C54:C57,C52,C48:C50,C44:C46,C42,C40,C37:C38,C35,C33,C32,C26:C30,C21:C24,C19,C15:C17,C10:C13,C6:C8,C4)</f>
        <v>26041</v>
      </c>
      <c r="D64" s="63">
        <f>SUM(D61:D63,D59,D54:D57,D52,D48:D50,D44:D46,D42,D40,D37:D38,D35,D33,D32,D26:D30,D21:D24,D19,D15:D17,D10:D13,D6:D8,D4)</f>
        <v>3420</v>
      </c>
      <c r="E64" s="63">
        <f>SUM(E61:E63,E59,E54:E57,E52,E48:E50,E44:E46,E42,E40,E37:E38,E35,E33,E32,E26:E30,E21:E24,E19,E15:E17,E10:E13,E6:E8,E4)</f>
        <v>1741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55AB0-CAA0-0A4A-BA74-07CD61230A98}">
  <dimension ref="A1:E53"/>
  <sheetViews>
    <sheetView topLeftCell="A18" zoomScale="136" workbookViewId="0">
      <selection activeCell="D49" sqref="D49"/>
    </sheetView>
  </sheetViews>
  <sheetFormatPr baseColWidth="10" defaultRowHeight="16" x14ac:dyDescent="0.2"/>
  <cols>
    <col min="1" max="2" width="10.83203125" style="29"/>
    <col min="3" max="3" width="50.5" style="29" customWidth="1"/>
    <col min="4" max="16384" width="10.83203125" style="29"/>
  </cols>
  <sheetData>
    <row r="1" spans="1:5" x14ac:dyDescent="0.2">
      <c r="A1" s="29" t="s">
        <v>84</v>
      </c>
      <c r="B1" s="29" t="s">
        <v>85</v>
      </c>
      <c r="C1" s="29" t="s">
        <v>86</v>
      </c>
      <c r="D1" s="29" t="s">
        <v>87</v>
      </c>
      <c r="E1" s="29" t="s">
        <v>88</v>
      </c>
    </row>
    <row r="2" spans="1:5" x14ac:dyDescent="0.2">
      <c r="C2" s="29" t="s">
        <v>90</v>
      </c>
    </row>
    <row r="3" spans="1:5" x14ac:dyDescent="0.2">
      <c r="A3" s="29" t="s">
        <v>92</v>
      </c>
      <c r="B3" s="29" t="s">
        <v>93</v>
      </c>
      <c r="C3" s="29" t="s">
        <v>1</v>
      </c>
      <c r="D3" s="29" t="s">
        <v>91</v>
      </c>
      <c r="E3" s="29" t="s">
        <v>93</v>
      </c>
    </row>
    <row r="4" spans="1:5" x14ac:dyDescent="0.2">
      <c r="A4" s="29" t="s">
        <v>6</v>
      </c>
      <c r="B4" s="29">
        <v>249</v>
      </c>
      <c r="C4" s="29">
        <v>29</v>
      </c>
      <c r="D4" s="29">
        <v>20</v>
      </c>
      <c r="E4" s="29">
        <v>326</v>
      </c>
    </row>
    <row r="5" spans="1:5" x14ac:dyDescent="0.2">
      <c r="A5" s="29" t="s">
        <v>18</v>
      </c>
      <c r="B5" s="29">
        <v>359</v>
      </c>
      <c r="C5" s="29">
        <v>108</v>
      </c>
      <c r="D5" s="29">
        <v>31</v>
      </c>
      <c r="E5" s="29">
        <v>361</v>
      </c>
    </row>
    <row r="6" spans="1:5" x14ac:dyDescent="0.2">
      <c r="A6" s="29" t="s">
        <v>28</v>
      </c>
      <c r="B6" s="29">
        <v>455</v>
      </c>
      <c r="C6" s="29">
        <v>154</v>
      </c>
      <c r="D6" s="29">
        <v>43</v>
      </c>
      <c r="E6" s="29">
        <v>509</v>
      </c>
    </row>
    <row r="7" spans="1:5" x14ac:dyDescent="0.2">
      <c r="A7" s="29" t="s">
        <v>7</v>
      </c>
      <c r="B7" s="29">
        <v>202</v>
      </c>
      <c r="C7" s="29">
        <v>82</v>
      </c>
      <c r="D7" s="29">
        <v>24</v>
      </c>
      <c r="E7" s="29">
        <v>245</v>
      </c>
    </row>
    <row r="8" spans="1:5" x14ac:dyDescent="0.2">
      <c r="A8" s="29" t="s">
        <v>4</v>
      </c>
      <c r="B8" s="58">
        <v>1881</v>
      </c>
      <c r="C8" s="29">
        <v>176</v>
      </c>
      <c r="D8" s="29">
        <v>115</v>
      </c>
      <c r="E8" s="58">
        <v>1962</v>
      </c>
    </row>
    <row r="9" spans="1:5" x14ac:dyDescent="0.2">
      <c r="A9" s="29" t="s">
        <v>50</v>
      </c>
      <c r="B9" s="29">
        <v>478</v>
      </c>
      <c r="C9" s="29">
        <v>124</v>
      </c>
      <c r="D9" s="29">
        <v>81</v>
      </c>
      <c r="E9" s="29">
        <v>461</v>
      </c>
    </row>
    <row r="10" spans="1:5" x14ac:dyDescent="0.2">
      <c r="A10" s="29" t="s">
        <v>82</v>
      </c>
      <c r="B10" s="29">
        <v>0</v>
      </c>
      <c r="C10" s="29">
        <v>0</v>
      </c>
      <c r="D10" s="29">
        <v>0</v>
      </c>
      <c r="E10" s="29">
        <v>0</v>
      </c>
    </row>
    <row r="11" spans="1:5" x14ac:dyDescent="0.2">
      <c r="A11" s="29" t="s">
        <v>72</v>
      </c>
      <c r="B11" s="29">
        <v>460</v>
      </c>
      <c r="C11" s="29">
        <v>47</v>
      </c>
      <c r="D11" s="29">
        <v>21</v>
      </c>
      <c r="E11" s="29">
        <v>565</v>
      </c>
    </row>
    <row r="12" spans="1:5" x14ac:dyDescent="0.2">
      <c r="A12" s="29" t="s">
        <v>14</v>
      </c>
      <c r="B12" s="29">
        <v>260</v>
      </c>
      <c r="C12" s="29">
        <v>0</v>
      </c>
      <c r="D12" s="29">
        <v>0</v>
      </c>
      <c r="E12" s="29">
        <v>286</v>
      </c>
    </row>
    <row r="13" spans="1:5" x14ac:dyDescent="0.2">
      <c r="A13" s="29" t="s">
        <v>10</v>
      </c>
      <c r="B13" s="29">
        <v>352</v>
      </c>
      <c r="C13" s="29">
        <v>50</v>
      </c>
      <c r="D13" s="29">
        <v>33</v>
      </c>
      <c r="E13" s="29">
        <v>359</v>
      </c>
    </row>
    <row r="14" spans="1:5" x14ac:dyDescent="0.2">
      <c r="A14" s="29" t="s">
        <v>79</v>
      </c>
      <c r="B14" s="29">
        <v>80</v>
      </c>
      <c r="C14" s="29">
        <v>15</v>
      </c>
      <c r="D14" s="29">
        <v>10</v>
      </c>
      <c r="E14" s="29">
        <v>85</v>
      </c>
    </row>
    <row r="15" spans="1:5" x14ac:dyDescent="0.2">
      <c r="A15" s="29" t="s">
        <v>11</v>
      </c>
      <c r="B15" s="29">
        <v>17</v>
      </c>
      <c r="C15" s="29">
        <v>0</v>
      </c>
      <c r="D15" s="29">
        <v>0</v>
      </c>
      <c r="E15" s="29" t="s">
        <v>94</v>
      </c>
    </row>
    <row r="16" spans="1:5" x14ac:dyDescent="0.2">
      <c r="A16" s="29" t="s">
        <v>15</v>
      </c>
      <c r="B16" s="58">
        <v>4107</v>
      </c>
      <c r="C16" s="29">
        <v>335</v>
      </c>
      <c r="D16" s="29">
        <v>202</v>
      </c>
      <c r="E16" s="58">
        <v>3927</v>
      </c>
    </row>
    <row r="17" spans="1:5" x14ac:dyDescent="0.2">
      <c r="A17" s="29" t="s">
        <v>12</v>
      </c>
      <c r="B17" s="29">
        <v>566</v>
      </c>
      <c r="C17" s="29">
        <v>39</v>
      </c>
      <c r="D17" s="29">
        <v>28</v>
      </c>
      <c r="E17" s="29">
        <v>536</v>
      </c>
    </row>
    <row r="18" spans="1:5" x14ac:dyDescent="0.2">
      <c r="A18" s="29" t="s">
        <v>16</v>
      </c>
      <c r="B18" s="29">
        <v>6</v>
      </c>
      <c r="C18" s="29">
        <v>0</v>
      </c>
      <c r="D18" s="29">
        <v>0</v>
      </c>
      <c r="E18" s="29">
        <v>0</v>
      </c>
    </row>
    <row r="19" spans="1:5" x14ac:dyDescent="0.2">
      <c r="A19" s="29" t="s">
        <v>19</v>
      </c>
      <c r="B19" s="29">
        <v>235</v>
      </c>
      <c r="C19" s="29">
        <v>34</v>
      </c>
      <c r="D19" s="29">
        <v>17</v>
      </c>
      <c r="E19" s="29">
        <v>220</v>
      </c>
    </row>
    <row r="20" spans="1:5" x14ac:dyDescent="0.2">
      <c r="A20" s="29" t="s">
        <v>20</v>
      </c>
      <c r="B20" s="29">
        <v>158</v>
      </c>
      <c r="C20" s="29">
        <v>14</v>
      </c>
      <c r="D20" s="29">
        <v>8</v>
      </c>
      <c r="E20" s="29">
        <v>209</v>
      </c>
    </row>
    <row r="21" spans="1:5" x14ac:dyDescent="0.2">
      <c r="A21" s="29" t="s">
        <v>55</v>
      </c>
      <c r="B21" s="29">
        <v>882</v>
      </c>
      <c r="C21" s="29">
        <v>91</v>
      </c>
      <c r="D21" s="29">
        <v>53</v>
      </c>
      <c r="E21" s="58">
        <v>1133</v>
      </c>
    </row>
    <row r="22" spans="1:5" x14ac:dyDescent="0.2">
      <c r="A22" s="29" t="s">
        <v>62</v>
      </c>
      <c r="B22" s="29">
        <v>414</v>
      </c>
      <c r="C22" s="29">
        <v>56</v>
      </c>
      <c r="D22" s="29">
        <v>37</v>
      </c>
      <c r="E22" s="29">
        <v>467</v>
      </c>
    </row>
    <row r="23" spans="1:5" x14ac:dyDescent="0.2">
      <c r="A23" s="29" t="s">
        <v>21</v>
      </c>
      <c r="B23" s="29">
        <v>208</v>
      </c>
      <c r="C23" s="29">
        <v>45</v>
      </c>
      <c r="D23" s="29">
        <v>25</v>
      </c>
      <c r="E23" s="29">
        <v>293</v>
      </c>
    </row>
    <row r="24" spans="1:5" x14ac:dyDescent="0.2">
      <c r="A24" s="29" t="s">
        <v>95</v>
      </c>
      <c r="B24" s="29">
        <v>0</v>
      </c>
      <c r="C24" s="29">
        <v>0</v>
      </c>
      <c r="D24" s="29">
        <v>0</v>
      </c>
      <c r="E24" s="29">
        <v>463</v>
      </c>
    </row>
    <row r="25" spans="1:5" x14ac:dyDescent="0.2">
      <c r="A25" s="29" t="s">
        <v>31</v>
      </c>
      <c r="B25" s="29">
        <v>849</v>
      </c>
      <c r="C25" s="29">
        <v>100</v>
      </c>
      <c r="D25" s="29">
        <v>44</v>
      </c>
      <c r="E25" s="29">
        <v>778</v>
      </c>
    </row>
    <row r="26" spans="1:5" x14ac:dyDescent="0.2">
      <c r="A26" s="29" t="s">
        <v>77</v>
      </c>
      <c r="B26" s="29">
        <v>121</v>
      </c>
      <c r="C26" s="29">
        <v>33</v>
      </c>
      <c r="D26" s="29">
        <v>17</v>
      </c>
      <c r="E26" s="29">
        <v>133</v>
      </c>
    </row>
    <row r="27" spans="1:5" x14ac:dyDescent="0.2">
      <c r="A27" s="29" t="s">
        <v>29</v>
      </c>
      <c r="B27" s="29">
        <v>280</v>
      </c>
      <c r="C27" s="29">
        <v>64</v>
      </c>
      <c r="D27" s="29">
        <v>26</v>
      </c>
      <c r="E27" s="29">
        <v>251</v>
      </c>
    </row>
    <row r="28" spans="1:5" x14ac:dyDescent="0.2">
      <c r="A28" s="29" t="s">
        <v>74</v>
      </c>
      <c r="B28" s="29">
        <v>246</v>
      </c>
      <c r="C28" s="29">
        <v>39</v>
      </c>
      <c r="D28" s="29">
        <v>15</v>
      </c>
      <c r="E28" s="29">
        <v>253</v>
      </c>
    </row>
    <row r="29" spans="1:5" x14ac:dyDescent="0.2">
      <c r="A29" s="29" t="s">
        <v>96</v>
      </c>
      <c r="B29" s="29">
        <v>0</v>
      </c>
      <c r="C29" s="29">
        <v>0</v>
      </c>
      <c r="D29" s="29">
        <v>0</v>
      </c>
      <c r="E29" s="29">
        <v>0</v>
      </c>
    </row>
    <row r="30" spans="1:5" x14ac:dyDescent="0.2">
      <c r="A30" s="29" t="s">
        <v>97</v>
      </c>
      <c r="B30" s="29">
        <v>0</v>
      </c>
      <c r="C30" s="29">
        <v>0</v>
      </c>
      <c r="D30" s="29">
        <v>0</v>
      </c>
      <c r="E30" s="29">
        <v>0</v>
      </c>
    </row>
    <row r="31" spans="1:5" x14ac:dyDescent="0.2">
      <c r="A31" s="29" t="s">
        <v>98</v>
      </c>
      <c r="B31" s="29">
        <v>256</v>
      </c>
      <c r="C31" s="29">
        <v>29</v>
      </c>
      <c r="D31" s="29">
        <v>0</v>
      </c>
      <c r="E31" s="29">
        <v>229</v>
      </c>
    </row>
    <row r="32" spans="1:5" x14ac:dyDescent="0.2">
      <c r="A32" s="29" t="s">
        <v>64</v>
      </c>
      <c r="B32" s="29">
        <v>0</v>
      </c>
      <c r="C32" s="29">
        <v>0</v>
      </c>
      <c r="D32" s="29">
        <v>13</v>
      </c>
      <c r="E32" s="29">
        <v>0</v>
      </c>
    </row>
    <row r="33" spans="1:5" x14ac:dyDescent="0.2">
      <c r="A33" s="29" t="s">
        <v>73</v>
      </c>
      <c r="B33" s="29">
        <v>406</v>
      </c>
      <c r="C33" s="29">
        <v>33</v>
      </c>
      <c r="D33" s="29">
        <v>18</v>
      </c>
      <c r="E33" s="29">
        <v>466</v>
      </c>
    </row>
    <row r="34" spans="1:5" x14ac:dyDescent="0.2">
      <c r="A34" s="29" t="s">
        <v>76</v>
      </c>
      <c r="B34" s="29">
        <v>193</v>
      </c>
      <c r="C34" s="29">
        <v>55</v>
      </c>
      <c r="D34" s="29">
        <v>17</v>
      </c>
      <c r="E34" s="29">
        <v>181</v>
      </c>
    </row>
    <row r="35" spans="1:5" x14ac:dyDescent="0.2">
      <c r="A35" s="29" t="s">
        <v>35</v>
      </c>
      <c r="B35" s="58">
        <v>2303</v>
      </c>
      <c r="C35" s="29">
        <v>226</v>
      </c>
      <c r="D35" s="29">
        <v>144</v>
      </c>
      <c r="E35" s="58">
        <v>2243</v>
      </c>
    </row>
    <row r="36" spans="1:5" x14ac:dyDescent="0.2">
      <c r="A36" s="29" t="s">
        <v>37</v>
      </c>
      <c r="B36" s="29">
        <v>602</v>
      </c>
      <c r="C36" s="29">
        <v>106</v>
      </c>
      <c r="D36" s="29">
        <v>80</v>
      </c>
      <c r="E36" s="29">
        <v>620</v>
      </c>
    </row>
    <row r="37" spans="1:5" x14ac:dyDescent="0.2">
      <c r="A37" s="29" t="s">
        <v>38</v>
      </c>
      <c r="B37" s="29">
        <v>384</v>
      </c>
      <c r="C37" s="29">
        <v>79</v>
      </c>
      <c r="D37" s="29">
        <v>44</v>
      </c>
      <c r="E37" s="29">
        <v>379</v>
      </c>
    </row>
    <row r="38" spans="1:5" x14ac:dyDescent="0.2">
      <c r="A38" s="29" t="s">
        <v>71</v>
      </c>
      <c r="B38" s="29">
        <v>0</v>
      </c>
      <c r="C38" s="29">
        <v>0</v>
      </c>
      <c r="D38" s="29">
        <v>51</v>
      </c>
      <c r="E38" s="29">
        <v>0</v>
      </c>
    </row>
    <row r="39" spans="1:5" x14ac:dyDescent="0.2">
      <c r="A39" s="29" t="s">
        <v>65</v>
      </c>
      <c r="B39" s="29">
        <v>569</v>
      </c>
      <c r="C39" s="29">
        <v>78</v>
      </c>
      <c r="D39" s="29">
        <v>0</v>
      </c>
      <c r="E39" s="29">
        <v>594</v>
      </c>
    </row>
    <row r="40" spans="1:5" x14ac:dyDescent="0.2">
      <c r="A40" s="29" t="s">
        <v>39</v>
      </c>
      <c r="B40" s="29">
        <v>288</v>
      </c>
      <c r="C40" s="29">
        <v>52</v>
      </c>
      <c r="D40" s="29">
        <v>33</v>
      </c>
      <c r="E40" s="29">
        <v>269</v>
      </c>
    </row>
    <row r="41" spans="1:5" x14ac:dyDescent="0.2">
      <c r="A41" s="29" t="s">
        <v>40</v>
      </c>
      <c r="B41" s="29">
        <v>141</v>
      </c>
      <c r="C41" s="29">
        <v>48</v>
      </c>
      <c r="D41" s="29">
        <v>19</v>
      </c>
      <c r="E41" s="29">
        <v>137</v>
      </c>
    </row>
    <row r="42" spans="1:5" x14ac:dyDescent="0.2">
      <c r="A42" s="29" t="s">
        <v>57</v>
      </c>
      <c r="B42" s="58">
        <v>1102</v>
      </c>
      <c r="C42" s="29">
        <v>107</v>
      </c>
      <c r="D42" s="29">
        <v>38</v>
      </c>
      <c r="E42" s="58">
        <v>1003</v>
      </c>
    </row>
    <row r="43" spans="1:5" x14ac:dyDescent="0.2">
      <c r="A43" s="29" t="s">
        <v>59</v>
      </c>
      <c r="B43" s="29">
        <v>322</v>
      </c>
      <c r="C43" s="29">
        <v>49</v>
      </c>
      <c r="D43" s="29">
        <v>32</v>
      </c>
      <c r="E43" s="29">
        <v>327</v>
      </c>
    </row>
    <row r="44" spans="1:5" x14ac:dyDescent="0.2">
      <c r="A44" s="29" t="s">
        <v>99</v>
      </c>
      <c r="B44" s="29">
        <v>0</v>
      </c>
      <c r="C44" s="29">
        <v>0</v>
      </c>
      <c r="D44" s="29">
        <v>0</v>
      </c>
      <c r="E44" s="29">
        <v>217</v>
      </c>
    </row>
    <row r="45" spans="1:5" x14ac:dyDescent="0.2">
      <c r="A45" s="29" t="s">
        <v>60</v>
      </c>
      <c r="B45" s="29">
        <v>856</v>
      </c>
      <c r="C45" s="29">
        <v>81</v>
      </c>
      <c r="D45" s="29">
        <v>47</v>
      </c>
      <c r="E45" s="29">
        <v>791</v>
      </c>
    </row>
    <row r="46" spans="1:5" x14ac:dyDescent="0.2">
      <c r="A46" s="29" t="s">
        <v>61</v>
      </c>
      <c r="B46" s="29">
        <v>400</v>
      </c>
      <c r="C46" s="29">
        <v>52</v>
      </c>
      <c r="D46" s="29">
        <v>15</v>
      </c>
      <c r="E46" s="29">
        <v>12</v>
      </c>
    </row>
    <row r="47" spans="1:5" x14ac:dyDescent="0.2">
      <c r="A47" s="29" t="s">
        <v>56</v>
      </c>
      <c r="B47" s="58">
        <v>1072</v>
      </c>
      <c r="C47" s="29">
        <v>78</v>
      </c>
      <c r="D47" s="29">
        <v>35</v>
      </c>
      <c r="E47" s="58">
        <v>1012</v>
      </c>
    </row>
    <row r="48" spans="1:5" x14ac:dyDescent="0.2">
      <c r="A48" s="29" t="s">
        <v>26</v>
      </c>
      <c r="B48" s="29">
        <v>263</v>
      </c>
      <c r="C48" s="29">
        <v>53</v>
      </c>
      <c r="D48" s="29">
        <v>24</v>
      </c>
      <c r="E48" s="29">
        <v>313</v>
      </c>
    </row>
    <row r="49" spans="1:5" x14ac:dyDescent="0.2">
      <c r="A49" s="29" t="s">
        <v>75</v>
      </c>
      <c r="B49" s="29">
        <v>670</v>
      </c>
      <c r="C49" s="29">
        <v>112</v>
      </c>
      <c r="D49" s="29">
        <v>40</v>
      </c>
      <c r="E49" s="29">
        <v>788</v>
      </c>
    </row>
    <row r="50" spans="1:5" x14ac:dyDescent="0.2">
      <c r="A50" s="29" t="s">
        <v>8</v>
      </c>
      <c r="B50" s="29">
        <v>157</v>
      </c>
      <c r="C50" s="29">
        <v>54</v>
      </c>
      <c r="D50" s="29">
        <v>16</v>
      </c>
      <c r="E50" s="29">
        <v>100</v>
      </c>
    </row>
    <row r="51" spans="1:5" x14ac:dyDescent="0.2">
      <c r="A51" s="29" t="s">
        <v>44</v>
      </c>
      <c r="B51" s="29">
        <v>0</v>
      </c>
      <c r="C51" s="29">
        <v>0</v>
      </c>
      <c r="D51" s="29">
        <v>0</v>
      </c>
      <c r="E51" s="29">
        <v>0</v>
      </c>
    </row>
    <row r="52" spans="1:5" x14ac:dyDescent="0.2">
      <c r="A52" s="29" t="s">
        <v>48</v>
      </c>
      <c r="B52" s="29">
        <v>525</v>
      </c>
      <c r="C52" s="29">
        <v>112</v>
      </c>
      <c r="D52" s="29">
        <v>53</v>
      </c>
      <c r="E52" s="29">
        <v>567</v>
      </c>
    </row>
    <row r="53" spans="1:5" x14ac:dyDescent="0.2">
      <c r="A53" s="29" t="s">
        <v>33</v>
      </c>
      <c r="B53" s="58">
        <v>2667</v>
      </c>
      <c r="C53" s="29">
        <v>381</v>
      </c>
      <c r="D53" s="29">
        <v>171</v>
      </c>
      <c r="E53" s="58">
        <v>2663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26948-FDC9-7347-81ED-C897DD01637E}">
  <dimension ref="B2:F63"/>
  <sheetViews>
    <sheetView zoomScale="114" workbookViewId="0">
      <selection activeCell="C5" sqref="C5"/>
    </sheetView>
  </sheetViews>
  <sheetFormatPr baseColWidth="10" defaultColWidth="8.83203125" defaultRowHeight="15" x14ac:dyDescent="0.2"/>
  <cols>
    <col min="2" max="2" width="44.83203125" bestFit="1" customWidth="1"/>
    <col min="3" max="6" width="12.6640625" customWidth="1"/>
  </cols>
  <sheetData>
    <row r="2" spans="2:5" x14ac:dyDescent="0.2">
      <c r="B2" s="11"/>
      <c r="C2" s="11" t="s">
        <v>0</v>
      </c>
      <c r="D2" s="11" t="s">
        <v>1</v>
      </c>
      <c r="E2" s="11" t="s">
        <v>58</v>
      </c>
    </row>
    <row r="3" spans="2:5" x14ac:dyDescent="0.2">
      <c r="B3" s="12" t="s">
        <v>3</v>
      </c>
      <c r="C3" s="65">
        <f>SUM(C4)</f>
        <v>1962</v>
      </c>
      <c r="D3" s="65">
        <f>SUM(D4)</f>
        <v>261</v>
      </c>
      <c r="E3" s="65">
        <f>SUM(E4)</f>
        <v>114</v>
      </c>
    </row>
    <row r="4" spans="2:5" x14ac:dyDescent="0.2">
      <c r="B4" s="13" t="s">
        <v>4</v>
      </c>
      <c r="C4" s="64">
        <v>1962</v>
      </c>
      <c r="D4" s="42">
        <v>261</v>
      </c>
      <c r="E4" s="42">
        <v>114</v>
      </c>
    </row>
    <row r="5" spans="2:5" x14ac:dyDescent="0.2">
      <c r="B5" s="12" t="s">
        <v>5</v>
      </c>
      <c r="C5" s="45">
        <f>SUM(C6:C8)</f>
        <v>671</v>
      </c>
      <c r="D5" s="45">
        <f>SUM(D6:D8)</f>
        <v>232</v>
      </c>
      <c r="E5" s="45">
        <f>SUM(E6:E8)</f>
        <v>76</v>
      </c>
    </row>
    <row r="6" spans="2:5" x14ac:dyDescent="0.2">
      <c r="B6" s="13" t="s">
        <v>6</v>
      </c>
      <c r="C6" s="13">
        <v>326</v>
      </c>
      <c r="D6" s="13">
        <v>33</v>
      </c>
      <c r="E6" s="13">
        <v>18</v>
      </c>
    </row>
    <row r="7" spans="2:5" x14ac:dyDescent="0.2">
      <c r="B7" s="13" t="s">
        <v>7</v>
      </c>
      <c r="C7" s="42">
        <v>245</v>
      </c>
      <c r="D7" s="42">
        <v>151</v>
      </c>
      <c r="E7" s="42">
        <v>46</v>
      </c>
    </row>
    <row r="8" spans="2:5" x14ac:dyDescent="0.2">
      <c r="B8" s="13" t="s">
        <v>8</v>
      </c>
      <c r="C8" s="42">
        <v>100</v>
      </c>
      <c r="D8" s="42">
        <v>48</v>
      </c>
      <c r="E8" s="42">
        <v>12</v>
      </c>
    </row>
    <row r="9" spans="2:5" x14ac:dyDescent="0.2">
      <c r="B9" s="12" t="s">
        <v>9</v>
      </c>
      <c r="C9" s="45">
        <f>SUM(C10:C13)</f>
        <v>980</v>
      </c>
      <c r="D9" s="45">
        <f>SUM(D10:D13)</f>
        <v>130</v>
      </c>
      <c r="E9" s="45">
        <f>SUM(E10:E13)</f>
        <v>74</v>
      </c>
    </row>
    <row r="10" spans="2:5" x14ac:dyDescent="0.2">
      <c r="B10" s="13" t="s">
        <v>10</v>
      </c>
      <c r="C10" s="42">
        <v>359</v>
      </c>
      <c r="D10" s="42">
        <v>63</v>
      </c>
      <c r="E10" s="42">
        <v>26</v>
      </c>
    </row>
    <row r="11" spans="2:5" x14ac:dyDescent="0.2">
      <c r="B11" s="13" t="s">
        <v>79</v>
      </c>
      <c r="C11" s="42">
        <v>85</v>
      </c>
      <c r="D11" s="42">
        <v>19</v>
      </c>
      <c r="E11" s="42">
        <v>13</v>
      </c>
    </row>
    <row r="12" spans="2:5" x14ac:dyDescent="0.2">
      <c r="B12" s="13" t="s">
        <v>11</v>
      </c>
      <c r="C12" s="42">
        <v>0</v>
      </c>
      <c r="D12" s="42">
        <v>0</v>
      </c>
      <c r="E12" s="42">
        <v>0</v>
      </c>
    </row>
    <row r="13" spans="2:5" x14ac:dyDescent="0.2">
      <c r="B13" s="13" t="s">
        <v>12</v>
      </c>
      <c r="C13" s="42">
        <v>536</v>
      </c>
      <c r="D13" s="42">
        <v>48</v>
      </c>
      <c r="E13" s="42">
        <v>35</v>
      </c>
    </row>
    <row r="14" spans="2:5" x14ac:dyDescent="0.2">
      <c r="B14" s="12" t="s">
        <v>13</v>
      </c>
      <c r="C14" s="45">
        <f>SUM(C15:C16)</f>
        <v>4213</v>
      </c>
      <c r="D14" s="45">
        <f>SUM(D15:D16)</f>
        <v>437</v>
      </c>
      <c r="E14" s="45">
        <f>SUM(E15:E16)</f>
        <v>263</v>
      </c>
    </row>
    <row r="15" spans="2:5" x14ac:dyDescent="0.2">
      <c r="B15" s="13" t="s">
        <v>14</v>
      </c>
      <c r="C15" s="42">
        <v>286</v>
      </c>
      <c r="D15" s="42">
        <v>0</v>
      </c>
      <c r="E15" s="42">
        <v>0</v>
      </c>
    </row>
    <row r="16" spans="2:5" x14ac:dyDescent="0.2">
      <c r="B16" s="13" t="s">
        <v>15</v>
      </c>
      <c r="C16" s="64">
        <v>3927</v>
      </c>
      <c r="D16" s="42">
        <v>437</v>
      </c>
      <c r="E16" s="42">
        <v>263</v>
      </c>
    </row>
    <row r="17" spans="2:5" x14ac:dyDescent="0.2">
      <c r="B17" s="12" t="s">
        <v>54</v>
      </c>
      <c r="C17" s="65">
        <f>SUM(C18)</f>
        <v>1133</v>
      </c>
      <c r="D17" s="65">
        <f>SUM(D18)</f>
        <v>151</v>
      </c>
      <c r="E17" s="65">
        <f>SUM(E18)</f>
        <v>75</v>
      </c>
    </row>
    <row r="18" spans="2:5" x14ac:dyDescent="0.2">
      <c r="B18" s="13" t="s">
        <v>55</v>
      </c>
      <c r="C18" s="64">
        <v>1133</v>
      </c>
      <c r="D18" s="42">
        <v>151</v>
      </c>
      <c r="E18" s="42">
        <v>75</v>
      </c>
    </row>
    <row r="19" spans="2:5" x14ac:dyDescent="0.2">
      <c r="B19" s="12" t="s">
        <v>17</v>
      </c>
      <c r="C19" s="45">
        <f>SUM(C20:C23)</f>
        <v>1083</v>
      </c>
      <c r="D19" s="45">
        <f>SUM(D20:D23)</f>
        <v>242</v>
      </c>
      <c r="E19" s="45">
        <f>SUM(E20:E23)</f>
        <v>93</v>
      </c>
    </row>
    <row r="20" spans="2:5" x14ac:dyDescent="0.2">
      <c r="B20" s="13" t="s">
        <v>18</v>
      </c>
      <c r="C20" s="42">
        <v>361</v>
      </c>
      <c r="D20" s="42">
        <v>136</v>
      </c>
      <c r="E20" s="42">
        <v>41</v>
      </c>
    </row>
    <row r="21" spans="2:5" x14ac:dyDescent="0.2">
      <c r="B21" s="13" t="s">
        <v>19</v>
      </c>
      <c r="C21" s="42">
        <v>220</v>
      </c>
      <c r="D21" s="42">
        <v>35</v>
      </c>
      <c r="E21" s="42">
        <v>15</v>
      </c>
    </row>
    <row r="22" spans="2:5" x14ac:dyDescent="0.2">
      <c r="B22" s="13" t="s">
        <v>20</v>
      </c>
      <c r="C22" s="42">
        <v>209</v>
      </c>
      <c r="D22" s="42">
        <v>19</v>
      </c>
      <c r="E22" s="42">
        <v>11</v>
      </c>
    </row>
    <row r="23" spans="2:5" x14ac:dyDescent="0.2">
      <c r="B23" s="13" t="s">
        <v>21</v>
      </c>
      <c r="C23" s="42">
        <v>293</v>
      </c>
      <c r="D23" s="42">
        <v>52</v>
      </c>
      <c r="E23" s="42">
        <v>26</v>
      </c>
    </row>
    <row r="24" spans="2:5" x14ac:dyDescent="0.2">
      <c r="B24" s="12" t="s">
        <v>22</v>
      </c>
      <c r="C24" s="45">
        <f>SUM(C25:C30)</f>
        <v>3123</v>
      </c>
      <c r="D24" s="45">
        <f>SUM(D25:D30)</f>
        <v>504</v>
      </c>
      <c r="E24" s="45">
        <f>SUM(E25:E30)</f>
        <v>213</v>
      </c>
    </row>
    <row r="25" spans="2:5" x14ac:dyDescent="0.2">
      <c r="B25" s="13" t="s">
        <v>59</v>
      </c>
      <c r="C25" s="42">
        <v>327</v>
      </c>
      <c r="D25" s="42">
        <v>65</v>
      </c>
      <c r="E25" s="42">
        <v>31</v>
      </c>
    </row>
    <row r="26" spans="2:5" x14ac:dyDescent="0.2">
      <c r="B26" s="42" t="s">
        <v>99</v>
      </c>
      <c r="C26" s="42">
        <v>217</v>
      </c>
      <c r="D26" s="42">
        <v>65</v>
      </c>
      <c r="E26" s="42">
        <v>22</v>
      </c>
    </row>
    <row r="27" spans="2:5" x14ac:dyDescent="0.2">
      <c r="B27" s="13" t="s">
        <v>60</v>
      </c>
      <c r="C27" s="42">
        <v>791</v>
      </c>
      <c r="D27" s="42">
        <v>105</v>
      </c>
      <c r="E27" s="42">
        <v>61</v>
      </c>
    </row>
    <row r="28" spans="2:5" x14ac:dyDescent="0.2">
      <c r="B28" s="13" t="s">
        <v>61</v>
      </c>
      <c r="C28" s="42">
        <v>463</v>
      </c>
      <c r="D28" s="42">
        <v>87</v>
      </c>
      <c r="E28" s="42">
        <v>30</v>
      </c>
    </row>
    <row r="29" spans="2:5" x14ac:dyDescent="0.2">
      <c r="B29" s="13" t="s">
        <v>56</v>
      </c>
      <c r="C29" s="64">
        <v>1012</v>
      </c>
      <c r="D29" s="42">
        <v>87</v>
      </c>
      <c r="E29" s="42">
        <v>38</v>
      </c>
    </row>
    <row r="30" spans="2:5" x14ac:dyDescent="0.2">
      <c r="B30" s="13" t="s">
        <v>26</v>
      </c>
      <c r="C30" s="42">
        <v>313</v>
      </c>
      <c r="D30" s="42">
        <v>95</v>
      </c>
      <c r="E30" s="42">
        <v>31</v>
      </c>
    </row>
    <row r="31" spans="2:5" x14ac:dyDescent="0.2">
      <c r="B31" s="12" t="s">
        <v>27</v>
      </c>
      <c r="C31" s="45">
        <f>SUM(C32:C33)</f>
        <v>760</v>
      </c>
      <c r="D31" s="45">
        <f>SUM(D32:D33)</f>
        <v>313</v>
      </c>
      <c r="E31" s="45">
        <f>SUM(E32:E33)</f>
        <v>102</v>
      </c>
    </row>
    <row r="32" spans="2:5" x14ac:dyDescent="0.2">
      <c r="B32" s="13" t="s">
        <v>28</v>
      </c>
      <c r="C32" s="42">
        <v>509</v>
      </c>
      <c r="D32" s="42">
        <v>231</v>
      </c>
      <c r="E32" s="42">
        <v>64</v>
      </c>
    </row>
    <row r="33" spans="2:6" x14ac:dyDescent="0.2">
      <c r="B33" s="13" t="s">
        <v>29</v>
      </c>
      <c r="C33" s="41">
        <v>251</v>
      </c>
      <c r="D33" s="41">
        <v>82</v>
      </c>
      <c r="E33" s="41">
        <v>38</v>
      </c>
    </row>
    <row r="34" spans="2:6" x14ac:dyDescent="0.2">
      <c r="B34" s="12" t="s">
        <v>30</v>
      </c>
      <c r="C34" s="65">
        <f>SUM(C35)</f>
        <v>778</v>
      </c>
      <c r="D34" s="65">
        <f>SUM(D35)</f>
        <v>158</v>
      </c>
      <c r="E34" s="65">
        <f>SUM(E35)</f>
        <v>78</v>
      </c>
    </row>
    <row r="35" spans="2:6" x14ac:dyDescent="0.2">
      <c r="B35" s="13" t="s">
        <v>31</v>
      </c>
      <c r="C35" s="42">
        <v>778</v>
      </c>
      <c r="D35" s="42">
        <v>158</v>
      </c>
      <c r="E35" s="42">
        <v>78</v>
      </c>
    </row>
    <row r="36" spans="2:6" x14ac:dyDescent="0.2">
      <c r="B36" s="12" t="s">
        <v>78</v>
      </c>
      <c r="C36" s="45">
        <f>SUM(C37:C38)</f>
        <v>314</v>
      </c>
      <c r="D36" s="45">
        <f>SUM(D37:D38)</f>
        <v>105</v>
      </c>
      <c r="E36" s="45">
        <f>SUM(E37:E38)</f>
        <v>31</v>
      </c>
    </row>
    <row r="37" spans="2:6" x14ac:dyDescent="0.2">
      <c r="B37" s="13" t="s">
        <v>77</v>
      </c>
      <c r="C37" s="42">
        <v>133</v>
      </c>
      <c r="D37" s="42">
        <v>33</v>
      </c>
      <c r="E37" s="42">
        <v>13</v>
      </c>
    </row>
    <row r="38" spans="2:6" x14ac:dyDescent="0.2">
      <c r="B38" s="13" t="s">
        <v>76</v>
      </c>
      <c r="C38" s="42">
        <v>181</v>
      </c>
      <c r="D38" s="42">
        <v>72</v>
      </c>
      <c r="E38" s="42">
        <v>18</v>
      </c>
    </row>
    <row r="39" spans="2:6" x14ac:dyDescent="0.2">
      <c r="B39" s="12" t="s">
        <v>32</v>
      </c>
      <c r="C39" s="65">
        <f>SUM(C40)</f>
        <v>2663</v>
      </c>
      <c r="D39" s="65">
        <f>SUM(D40)</f>
        <v>462</v>
      </c>
      <c r="E39" s="65">
        <f>SUM(E40)</f>
        <v>190</v>
      </c>
    </row>
    <row r="40" spans="2:6" x14ac:dyDescent="0.2">
      <c r="B40" s="13" t="s">
        <v>33</v>
      </c>
      <c r="C40" s="64">
        <v>2663</v>
      </c>
      <c r="D40" s="42">
        <v>462</v>
      </c>
      <c r="E40" s="42">
        <v>190</v>
      </c>
    </row>
    <row r="41" spans="2:6" x14ac:dyDescent="0.2">
      <c r="B41" s="12" t="s">
        <v>34</v>
      </c>
      <c r="C41" s="65">
        <f>SUM(C42)</f>
        <v>2243</v>
      </c>
      <c r="D41" s="65">
        <f>SUM(D42)</f>
        <v>329</v>
      </c>
      <c r="E41" s="65">
        <f>SUM(E42)</f>
        <v>174</v>
      </c>
    </row>
    <row r="42" spans="2:6" x14ac:dyDescent="0.2">
      <c r="B42" s="13" t="s">
        <v>35</v>
      </c>
      <c r="C42" s="64">
        <v>2243</v>
      </c>
      <c r="D42" s="42">
        <v>329</v>
      </c>
      <c r="E42" s="42">
        <v>174</v>
      </c>
    </row>
    <row r="43" spans="2:6" ht="13" customHeight="1" x14ac:dyDescent="0.2">
      <c r="B43" s="45" t="s">
        <v>36</v>
      </c>
      <c r="C43" s="45">
        <f>SUM(C44:C46)</f>
        <v>1466</v>
      </c>
      <c r="D43" s="45">
        <f>SUM(D44:D46)</f>
        <v>264</v>
      </c>
      <c r="E43" s="45">
        <f>SUM(E44:E46)</f>
        <v>140</v>
      </c>
    </row>
    <row r="44" spans="2:6" ht="16" x14ac:dyDescent="0.2">
      <c r="B44" s="13" t="s">
        <v>62</v>
      </c>
      <c r="C44" s="42">
        <v>467</v>
      </c>
      <c r="D44" s="42">
        <v>65</v>
      </c>
      <c r="E44" s="42">
        <v>32</v>
      </c>
      <c r="F44" s="29"/>
    </row>
    <row r="45" spans="2:6" x14ac:dyDescent="0.2">
      <c r="B45" s="13" t="s">
        <v>37</v>
      </c>
      <c r="C45" s="42">
        <v>620</v>
      </c>
      <c r="D45" s="42">
        <v>114</v>
      </c>
      <c r="E45" s="42">
        <v>66</v>
      </c>
    </row>
    <row r="46" spans="2:6" x14ac:dyDescent="0.2">
      <c r="B46" s="13" t="s">
        <v>38</v>
      </c>
      <c r="C46" s="42">
        <v>379</v>
      </c>
      <c r="D46" s="42">
        <v>85</v>
      </c>
      <c r="E46" s="42">
        <v>42</v>
      </c>
    </row>
    <row r="47" spans="2:6" x14ac:dyDescent="0.2">
      <c r="B47" s="12" t="s">
        <v>63</v>
      </c>
      <c r="C47" s="45">
        <f>SUM(C48:C50)</f>
        <v>675</v>
      </c>
      <c r="D47" s="45">
        <f>SUM(D48:D50)</f>
        <v>173</v>
      </c>
      <c r="E47" s="45">
        <f>SUM(E48:E50)</f>
        <v>98</v>
      </c>
    </row>
    <row r="48" spans="2:6" x14ac:dyDescent="0.2">
      <c r="B48" s="13" t="s">
        <v>39</v>
      </c>
      <c r="C48" s="42">
        <v>269</v>
      </c>
      <c r="D48" s="42">
        <v>63</v>
      </c>
      <c r="E48" s="42">
        <v>38</v>
      </c>
    </row>
    <row r="49" spans="2:5" x14ac:dyDescent="0.2">
      <c r="B49" s="13" t="s">
        <v>40</v>
      </c>
      <c r="C49" s="42">
        <v>137</v>
      </c>
      <c r="D49" s="42">
        <v>47</v>
      </c>
      <c r="E49" s="42">
        <v>22</v>
      </c>
    </row>
    <row r="50" spans="2:5" x14ac:dyDescent="0.2">
      <c r="B50" s="13" t="s">
        <v>57</v>
      </c>
      <c r="C50" s="42">
        <v>269</v>
      </c>
      <c r="D50" s="42">
        <v>63</v>
      </c>
      <c r="E50" s="42">
        <v>38</v>
      </c>
    </row>
    <row r="51" spans="2:5" x14ac:dyDescent="0.2">
      <c r="B51" s="57" t="s">
        <v>67</v>
      </c>
      <c r="C51" s="65">
        <f>SUM(C52)</f>
        <v>788</v>
      </c>
      <c r="D51" s="65">
        <f>SUM(D52)</f>
        <v>161</v>
      </c>
      <c r="E51" s="65">
        <f>SUM(E52)</f>
        <v>49</v>
      </c>
    </row>
    <row r="52" spans="2:5" x14ac:dyDescent="0.2">
      <c r="B52" s="41" t="s">
        <v>75</v>
      </c>
      <c r="C52" s="42">
        <v>788</v>
      </c>
      <c r="D52" s="42">
        <v>161</v>
      </c>
      <c r="E52" s="42">
        <v>49</v>
      </c>
    </row>
    <row r="53" spans="2:5" x14ac:dyDescent="0.2">
      <c r="B53" s="12" t="s">
        <v>41</v>
      </c>
      <c r="C53" s="45">
        <f>SUM(C54:C56)</f>
        <v>948</v>
      </c>
      <c r="D53" s="45">
        <f>SUM(D54:D56)</f>
        <v>159</v>
      </c>
      <c r="E53" s="45">
        <f>SUM(E54:E56)</f>
        <v>45</v>
      </c>
    </row>
    <row r="54" spans="2:5" x14ac:dyDescent="0.2">
      <c r="B54" s="13" t="s">
        <v>83</v>
      </c>
      <c r="C54" s="42">
        <v>253</v>
      </c>
      <c r="D54" s="42">
        <v>51</v>
      </c>
      <c r="E54" s="42">
        <v>23</v>
      </c>
    </row>
    <row r="55" spans="2:5" x14ac:dyDescent="0.2">
      <c r="B55" s="13" t="s">
        <v>64</v>
      </c>
      <c r="C55" s="42">
        <v>229</v>
      </c>
      <c r="D55" s="42">
        <v>52</v>
      </c>
      <c r="E55" s="42">
        <v>22</v>
      </c>
    </row>
    <row r="56" spans="2:5" x14ac:dyDescent="0.2">
      <c r="B56" s="44" t="s">
        <v>73</v>
      </c>
      <c r="C56" s="41">
        <v>466</v>
      </c>
      <c r="D56" s="41">
        <v>56</v>
      </c>
      <c r="E56" s="42">
        <v>0</v>
      </c>
    </row>
    <row r="57" spans="2:5" x14ac:dyDescent="0.2">
      <c r="B57" s="12" t="s">
        <v>47</v>
      </c>
      <c r="C57" s="65">
        <f>SUM(C58)</f>
        <v>567</v>
      </c>
      <c r="D57" s="65">
        <f>SUM(D58)</f>
        <v>123</v>
      </c>
      <c r="E57" s="65">
        <f>SUM(E58)</f>
        <v>51</v>
      </c>
    </row>
    <row r="58" spans="2:5" x14ac:dyDescent="0.2">
      <c r="B58" s="13" t="s">
        <v>48</v>
      </c>
      <c r="C58" s="42">
        <v>567</v>
      </c>
      <c r="D58" s="42">
        <v>123</v>
      </c>
      <c r="E58" s="42">
        <v>51</v>
      </c>
    </row>
    <row r="59" spans="2:5" x14ac:dyDescent="0.2">
      <c r="B59" s="12" t="s">
        <v>49</v>
      </c>
      <c r="C59" s="45">
        <f>SUM(C60:C62)</f>
        <v>1620</v>
      </c>
      <c r="D59" s="45">
        <f>SUM(D60:D62)</f>
        <v>289</v>
      </c>
      <c r="E59" s="45">
        <f>SUM(E60:E62)</f>
        <v>152</v>
      </c>
    </row>
    <row r="60" spans="2:5" x14ac:dyDescent="0.2">
      <c r="B60" s="13" t="s">
        <v>50</v>
      </c>
      <c r="C60" s="42">
        <v>461</v>
      </c>
      <c r="D60" s="42">
        <v>136</v>
      </c>
      <c r="E60" s="42">
        <v>82</v>
      </c>
    </row>
    <row r="61" spans="2:5" x14ac:dyDescent="0.2">
      <c r="B61" s="42" t="s">
        <v>72</v>
      </c>
      <c r="C61" s="42">
        <v>565</v>
      </c>
      <c r="D61" s="42">
        <v>60</v>
      </c>
      <c r="E61" s="42">
        <v>21</v>
      </c>
    </row>
    <row r="62" spans="2:5" x14ac:dyDescent="0.2">
      <c r="B62" s="13" t="s">
        <v>65</v>
      </c>
      <c r="C62" s="42">
        <v>594</v>
      </c>
      <c r="D62" s="42">
        <v>93</v>
      </c>
      <c r="E62" s="48">
        <v>49</v>
      </c>
    </row>
    <row r="63" spans="2:5" x14ac:dyDescent="0.2">
      <c r="B63" s="14" t="s">
        <v>53</v>
      </c>
      <c r="C63" s="63">
        <f>SUM(C59,C57,C53,C51,C47,C43,C41,C39,C36,C34,C31,C24,C19,C17,C14,C9,C5,C3)</f>
        <v>25987</v>
      </c>
      <c r="D63" s="63">
        <f>SUM(D59,D57,D53,D51,D47,D43,D41,D39,D36,D34,D31,D24,D19,D17,D14,D9,D5,D3)</f>
        <v>4493</v>
      </c>
      <c r="E63" s="63">
        <f>SUM(E59,E57,E53,E51,E47,E43,E41,E39,E36,E34,E31,E24,E19,E17,E14,E9,E5,E3)</f>
        <v>2018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49719-625B-1E4E-94F1-F72BDB73B520}">
  <dimension ref="A1:N55"/>
  <sheetViews>
    <sheetView topLeftCell="A5" zoomScale="115" workbookViewId="0">
      <selection activeCell="B51" sqref="B51"/>
    </sheetView>
  </sheetViews>
  <sheetFormatPr baseColWidth="10" defaultRowHeight="16" x14ac:dyDescent="0.2"/>
  <cols>
    <col min="1" max="1" width="46.5" style="29" customWidth="1"/>
    <col min="2" max="2" width="10.83203125" style="29"/>
    <col min="3" max="3" width="9.5" style="29" customWidth="1"/>
    <col min="4" max="16384" width="10.83203125" style="29"/>
  </cols>
  <sheetData>
    <row r="1" spans="1:5" x14ac:dyDescent="0.2">
      <c r="A1" s="29" t="s">
        <v>84</v>
      </c>
    </row>
    <row r="2" spans="1:5" x14ac:dyDescent="0.2">
      <c r="C2" s="29" t="s">
        <v>89</v>
      </c>
    </row>
    <row r="3" spans="1:5" x14ac:dyDescent="0.2">
      <c r="A3" s="29" t="s">
        <v>92</v>
      </c>
      <c r="B3" s="29" t="s">
        <v>93</v>
      </c>
      <c r="C3" s="29" t="s">
        <v>1</v>
      </c>
      <c r="D3" s="29" t="s">
        <v>91</v>
      </c>
    </row>
    <row r="4" spans="1:5" x14ac:dyDescent="0.2">
      <c r="A4" s="29" t="s">
        <v>6</v>
      </c>
      <c r="B4" s="29">
        <v>326</v>
      </c>
      <c r="C4" s="29">
        <v>33</v>
      </c>
      <c r="D4" s="29">
        <v>18</v>
      </c>
    </row>
    <row r="5" spans="1:5" x14ac:dyDescent="0.2">
      <c r="A5" s="29" t="s">
        <v>18</v>
      </c>
      <c r="B5" s="29">
        <v>361</v>
      </c>
      <c r="C5" s="29">
        <v>136</v>
      </c>
      <c r="D5" s="29">
        <v>41</v>
      </c>
    </row>
    <row r="6" spans="1:5" x14ac:dyDescent="0.2">
      <c r="A6" s="29" t="s">
        <v>28</v>
      </c>
      <c r="B6" s="29">
        <v>509</v>
      </c>
      <c r="C6" s="29">
        <v>231</v>
      </c>
      <c r="D6" s="29">
        <v>64</v>
      </c>
    </row>
    <row r="7" spans="1:5" x14ac:dyDescent="0.2">
      <c r="A7" s="29" t="s">
        <v>7</v>
      </c>
      <c r="B7" s="29">
        <v>245</v>
      </c>
      <c r="C7" s="29">
        <v>151</v>
      </c>
      <c r="D7" s="29">
        <v>46</v>
      </c>
    </row>
    <row r="8" spans="1:5" x14ac:dyDescent="0.2">
      <c r="A8" s="29" t="s">
        <v>4</v>
      </c>
      <c r="B8" s="58">
        <v>1962</v>
      </c>
      <c r="C8" s="29">
        <v>261</v>
      </c>
      <c r="D8" s="29">
        <v>114</v>
      </c>
    </row>
    <row r="9" spans="1:5" x14ac:dyDescent="0.2">
      <c r="A9" s="29" t="s">
        <v>50</v>
      </c>
      <c r="B9" s="29">
        <v>461</v>
      </c>
      <c r="C9" s="29">
        <v>136</v>
      </c>
      <c r="D9" s="29">
        <v>82</v>
      </c>
    </row>
    <row r="10" spans="1:5" x14ac:dyDescent="0.2">
      <c r="A10" s="29" t="s">
        <v>82</v>
      </c>
      <c r="B10" s="29">
        <v>0</v>
      </c>
      <c r="C10" s="29">
        <v>0</v>
      </c>
      <c r="D10" s="29">
        <v>0</v>
      </c>
      <c r="E10" s="58"/>
    </row>
    <row r="11" spans="1:5" x14ac:dyDescent="0.2">
      <c r="A11" s="29" t="s">
        <v>72</v>
      </c>
      <c r="B11" s="29">
        <v>565</v>
      </c>
      <c r="C11" s="29">
        <v>60</v>
      </c>
      <c r="D11" s="29">
        <v>21</v>
      </c>
    </row>
    <row r="12" spans="1:5" x14ac:dyDescent="0.2">
      <c r="A12" s="29" t="s">
        <v>14</v>
      </c>
      <c r="B12" s="29">
        <v>286</v>
      </c>
      <c r="C12" s="29">
        <v>0</v>
      </c>
      <c r="D12" s="29">
        <v>0</v>
      </c>
    </row>
    <row r="13" spans="1:5" x14ac:dyDescent="0.2">
      <c r="A13" s="29" t="s">
        <v>10</v>
      </c>
      <c r="B13" s="29">
        <v>359</v>
      </c>
      <c r="C13" s="29">
        <v>63</v>
      </c>
      <c r="D13" s="29">
        <v>26</v>
      </c>
    </row>
    <row r="14" spans="1:5" x14ac:dyDescent="0.2">
      <c r="A14" s="29" t="s">
        <v>79</v>
      </c>
      <c r="B14" s="29">
        <v>85</v>
      </c>
      <c r="C14" s="29">
        <v>19</v>
      </c>
      <c r="D14" s="29">
        <v>13</v>
      </c>
    </row>
    <row r="15" spans="1:5" x14ac:dyDescent="0.2">
      <c r="A15" s="29" t="s">
        <v>11</v>
      </c>
      <c r="B15" s="29" t="s">
        <v>94</v>
      </c>
      <c r="C15" s="29">
        <v>0</v>
      </c>
      <c r="D15" s="29">
        <v>0</v>
      </c>
    </row>
    <row r="16" spans="1:5" x14ac:dyDescent="0.2">
      <c r="A16" s="29" t="s">
        <v>15</v>
      </c>
      <c r="B16" s="58">
        <v>3927</v>
      </c>
      <c r="C16" s="29">
        <v>437</v>
      </c>
      <c r="D16" s="29">
        <v>263</v>
      </c>
    </row>
    <row r="17" spans="1:5" x14ac:dyDescent="0.2">
      <c r="A17" s="29" t="s">
        <v>12</v>
      </c>
      <c r="B17" s="29">
        <v>536</v>
      </c>
      <c r="C17" s="29">
        <v>48</v>
      </c>
      <c r="D17" s="29">
        <v>35</v>
      </c>
    </row>
    <row r="18" spans="1:5" x14ac:dyDescent="0.2">
      <c r="A18" s="29" t="s">
        <v>16</v>
      </c>
      <c r="B18" s="29">
        <v>0</v>
      </c>
      <c r="C18" s="29">
        <v>0</v>
      </c>
      <c r="D18" s="29">
        <v>0</v>
      </c>
      <c r="E18" s="58"/>
    </row>
    <row r="19" spans="1:5" x14ac:dyDescent="0.2">
      <c r="A19" s="29" t="s">
        <v>19</v>
      </c>
      <c r="B19" s="29">
        <v>220</v>
      </c>
      <c r="C19" s="29">
        <v>35</v>
      </c>
      <c r="D19" s="29">
        <v>15</v>
      </c>
    </row>
    <row r="20" spans="1:5" x14ac:dyDescent="0.2">
      <c r="A20" s="29" t="s">
        <v>20</v>
      </c>
      <c r="B20" s="29">
        <v>209</v>
      </c>
      <c r="C20" s="29">
        <v>19</v>
      </c>
      <c r="D20" s="29">
        <v>11</v>
      </c>
    </row>
    <row r="21" spans="1:5" x14ac:dyDescent="0.2">
      <c r="A21" s="29" t="s">
        <v>55</v>
      </c>
      <c r="B21" s="58">
        <v>1133</v>
      </c>
      <c r="C21" s="29">
        <v>151</v>
      </c>
      <c r="D21" s="29">
        <v>75</v>
      </c>
    </row>
    <row r="22" spans="1:5" x14ac:dyDescent="0.2">
      <c r="A22" s="29" t="s">
        <v>62</v>
      </c>
      <c r="B22" s="29">
        <v>467</v>
      </c>
      <c r="C22" s="29">
        <v>65</v>
      </c>
      <c r="D22" s="29">
        <v>32</v>
      </c>
    </row>
    <row r="23" spans="1:5" x14ac:dyDescent="0.2">
      <c r="A23" s="29" t="s">
        <v>21</v>
      </c>
      <c r="B23" s="29">
        <v>293</v>
      </c>
      <c r="C23" s="29">
        <v>52</v>
      </c>
      <c r="D23" s="29">
        <v>26</v>
      </c>
      <c r="E23" s="58"/>
    </row>
    <row r="24" spans="1:5" x14ac:dyDescent="0.2">
      <c r="A24" s="29" t="s">
        <v>95</v>
      </c>
      <c r="B24" s="29">
        <v>463</v>
      </c>
      <c r="C24" s="29">
        <v>87</v>
      </c>
      <c r="D24" s="29">
        <v>30</v>
      </c>
    </row>
    <row r="25" spans="1:5" x14ac:dyDescent="0.2">
      <c r="A25" s="29" t="s">
        <v>31</v>
      </c>
      <c r="B25" s="29">
        <v>778</v>
      </c>
      <c r="C25" s="29">
        <v>158</v>
      </c>
      <c r="D25" s="29">
        <v>78</v>
      </c>
    </row>
    <row r="26" spans="1:5" x14ac:dyDescent="0.2">
      <c r="A26" s="29" t="s">
        <v>77</v>
      </c>
      <c r="B26" s="29">
        <v>133</v>
      </c>
      <c r="C26" s="29">
        <v>33</v>
      </c>
      <c r="D26" s="29">
        <v>13</v>
      </c>
    </row>
    <row r="27" spans="1:5" x14ac:dyDescent="0.2">
      <c r="A27" s="29" t="s">
        <v>29</v>
      </c>
      <c r="B27" s="29">
        <v>251</v>
      </c>
      <c r="C27" s="29">
        <v>82</v>
      </c>
      <c r="D27" s="29">
        <v>38</v>
      </c>
    </row>
    <row r="28" spans="1:5" x14ac:dyDescent="0.2">
      <c r="A28" s="29" t="s">
        <v>74</v>
      </c>
      <c r="B28" s="29">
        <v>253</v>
      </c>
      <c r="C28" s="29">
        <v>51</v>
      </c>
      <c r="D28" s="29">
        <v>23</v>
      </c>
    </row>
    <row r="29" spans="1:5" x14ac:dyDescent="0.2">
      <c r="A29" s="29" t="s">
        <v>96</v>
      </c>
      <c r="B29" s="29">
        <v>0</v>
      </c>
      <c r="C29" s="29">
        <v>0</v>
      </c>
      <c r="D29" s="29">
        <v>30</v>
      </c>
    </row>
    <row r="30" spans="1:5" x14ac:dyDescent="0.2">
      <c r="A30" s="29" t="s">
        <v>97</v>
      </c>
      <c r="B30" s="29">
        <v>0</v>
      </c>
      <c r="C30" s="29">
        <v>0</v>
      </c>
      <c r="D30" s="29">
        <v>22</v>
      </c>
    </row>
    <row r="31" spans="1:5" x14ac:dyDescent="0.2">
      <c r="A31" s="29" t="s">
        <v>98</v>
      </c>
      <c r="B31" s="29">
        <v>229</v>
      </c>
      <c r="C31" s="29">
        <v>52</v>
      </c>
      <c r="D31" s="29">
        <v>0</v>
      </c>
    </row>
    <row r="32" spans="1:5" x14ac:dyDescent="0.2">
      <c r="A32" s="29" t="s">
        <v>64</v>
      </c>
      <c r="B32" s="29">
        <v>0</v>
      </c>
      <c r="C32" s="29">
        <v>0</v>
      </c>
      <c r="D32" s="29">
        <v>0</v>
      </c>
    </row>
    <row r="33" spans="1:5" x14ac:dyDescent="0.2">
      <c r="A33" s="29" t="s">
        <v>73</v>
      </c>
      <c r="B33" s="29">
        <v>466</v>
      </c>
      <c r="C33" s="29">
        <v>56</v>
      </c>
      <c r="D33" s="29">
        <v>0</v>
      </c>
    </row>
    <row r="34" spans="1:5" x14ac:dyDescent="0.2">
      <c r="A34" s="29" t="s">
        <v>76</v>
      </c>
      <c r="B34" s="29">
        <v>181</v>
      </c>
      <c r="C34" s="29">
        <v>72</v>
      </c>
      <c r="D34" s="29">
        <v>18</v>
      </c>
    </row>
    <row r="35" spans="1:5" x14ac:dyDescent="0.2">
      <c r="A35" s="29" t="s">
        <v>35</v>
      </c>
      <c r="B35" s="58">
        <v>2243</v>
      </c>
      <c r="C35" s="29">
        <v>329</v>
      </c>
      <c r="D35" s="29">
        <v>174</v>
      </c>
    </row>
    <row r="36" spans="1:5" x14ac:dyDescent="0.2">
      <c r="A36" s="29" t="s">
        <v>37</v>
      </c>
      <c r="B36" s="29">
        <v>620</v>
      </c>
      <c r="C36" s="29">
        <v>114</v>
      </c>
      <c r="D36" s="29">
        <v>66</v>
      </c>
    </row>
    <row r="37" spans="1:5" x14ac:dyDescent="0.2">
      <c r="A37" s="29" t="s">
        <v>38</v>
      </c>
      <c r="B37" s="29">
        <v>379</v>
      </c>
      <c r="C37" s="29">
        <v>85</v>
      </c>
      <c r="D37" s="29">
        <v>42</v>
      </c>
      <c r="E37" s="58"/>
    </row>
    <row r="38" spans="1:5" x14ac:dyDescent="0.2">
      <c r="A38" s="29" t="s">
        <v>71</v>
      </c>
      <c r="B38" s="29">
        <v>0</v>
      </c>
      <c r="C38" s="29">
        <v>0</v>
      </c>
      <c r="D38" s="29">
        <v>49</v>
      </c>
    </row>
    <row r="39" spans="1:5" x14ac:dyDescent="0.2">
      <c r="A39" s="29" t="s">
        <v>65</v>
      </c>
      <c r="B39" s="29">
        <v>594</v>
      </c>
      <c r="C39" s="29">
        <v>93</v>
      </c>
      <c r="D39" s="29">
        <v>0</v>
      </c>
    </row>
    <row r="40" spans="1:5" x14ac:dyDescent="0.2">
      <c r="A40" s="29" t="s">
        <v>39</v>
      </c>
      <c r="B40" s="29">
        <v>269</v>
      </c>
      <c r="C40" s="29">
        <v>63</v>
      </c>
      <c r="D40" s="29">
        <v>38</v>
      </c>
    </row>
    <row r="41" spans="1:5" x14ac:dyDescent="0.2">
      <c r="A41" s="29" t="s">
        <v>40</v>
      </c>
      <c r="B41" s="29">
        <v>137</v>
      </c>
      <c r="C41" s="29">
        <v>47</v>
      </c>
      <c r="D41" s="29">
        <v>22</v>
      </c>
    </row>
    <row r="42" spans="1:5" x14ac:dyDescent="0.2">
      <c r="A42" s="29" t="s">
        <v>57</v>
      </c>
      <c r="B42" s="58">
        <v>1003</v>
      </c>
      <c r="C42" s="29">
        <v>164</v>
      </c>
      <c r="D42" s="29">
        <v>62</v>
      </c>
    </row>
    <row r="43" spans="1:5" x14ac:dyDescent="0.2">
      <c r="A43" s="29" t="s">
        <v>59</v>
      </c>
      <c r="B43" s="29">
        <v>327</v>
      </c>
      <c r="C43" s="29">
        <v>65</v>
      </c>
      <c r="D43" s="29">
        <v>31</v>
      </c>
    </row>
    <row r="44" spans="1:5" x14ac:dyDescent="0.2">
      <c r="A44" s="29" t="s">
        <v>99</v>
      </c>
      <c r="B44" s="29">
        <v>217</v>
      </c>
      <c r="C44" s="29">
        <v>65</v>
      </c>
      <c r="D44" s="29">
        <v>22</v>
      </c>
      <c r="E44" s="58"/>
    </row>
    <row r="45" spans="1:5" x14ac:dyDescent="0.2">
      <c r="A45" s="29" t="s">
        <v>60</v>
      </c>
      <c r="B45" s="29">
        <v>791</v>
      </c>
      <c r="C45" s="29">
        <v>105</v>
      </c>
      <c r="D45" s="29">
        <v>61</v>
      </c>
    </row>
    <row r="46" spans="1:5" x14ac:dyDescent="0.2">
      <c r="A46" s="29" t="s">
        <v>61</v>
      </c>
      <c r="B46" s="29">
        <v>12</v>
      </c>
      <c r="C46" s="29">
        <v>0</v>
      </c>
      <c r="D46" s="29">
        <v>0</v>
      </c>
    </row>
    <row r="47" spans="1:5" x14ac:dyDescent="0.2">
      <c r="A47" s="29" t="s">
        <v>56</v>
      </c>
      <c r="B47" s="58">
        <v>1012</v>
      </c>
      <c r="C47" s="29">
        <v>87</v>
      </c>
      <c r="D47" s="29">
        <v>38</v>
      </c>
    </row>
    <row r="48" spans="1:5" x14ac:dyDescent="0.2">
      <c r="A48" s="29" t="s">
        <v>26</v>
      </c>
      <c r="B48" s="29">
        <v>313</v>
      </c>
      <c r="C48" s="29">
        <v>95</v>
      </c>
      <c r="D48" s="29">
        <v>31</v>
      </c>
    </row>
    <row r="49" spans="1:14" x14ac:dyDescent="0.2">
      <c r="A49" s="29" t="s">
        <v>75</v>
      </c>
      <c r="B49" s="29">
        <v>788</v>
      </c>
      <c r="C49" s="29">
        <v>161</v>
      </c>
      <c r="D49" s="29">
        <v>49</v>
      </c>
      <c r="E49" s="58"/>
    </row>
    <row r="50" spans="1:14" x14ac:dyDescent="0.2">
      <c r="A50" s="29" t="s">
        <v>8</v>
      </c>
      <c r="B50" s="29">
        <v>100</v>
      </c>
      <c r="C50" s="29">
        <v>48</v>
      </c>
      <c r="D50" s="29">
        <v>12</v>
      </c>
    </row>
    <row r="51" spans="1:14" x14ac:dyDescent="0.2">
      <c r="A51" s="29" t="s">
        <v>44</v>
      </c>
      <c r="B51" s="29">
        <v>0</v>
      </c>
      <c r="C51" s="29">
        <v>0</v>
      </c>
      <c r="D51" s="29">
        <v>0</v>
      </c>
    </row>
    <row r="52" spans="1:14" x14ac:dyDescent="0.2">
      <c r="A52" s="29" t="s">
        <v>48</v>
      </c>
      <c r="B52" s="29">
        <v>567</v>
      </c>
      <c r="C52" s="29">
        <v>123</v>
      </c>
      <c r="D52" s="29">
        <v>51</v>
      </c>
    </row>
    <row r="53" spans="1:14" x14ac:dyDescent="0.2">
      <c r="A53" s="29" t="s">
        <v>33</v>
      </c>
      <c r="B53" s="58">
        <v>2663</v>
      </c>
      <c r="C53" s="29">
        <v>462</v>
      </c>
      <c r="D53" s="29">
        <v>190</v>
      </c>
    </row>
    <row r="55" spans="1:14" x14ac:dyDescent="0.2">
      <c r="N55" s="58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2015-6</vt:lpstr>
      <vt:lpstr>2016-7</vt:lpstr>
      <vt:lpstr>2017-8</vt:lpstr>
      <vt:lpstr>2018-9</vt:lpstr>
      <vt:lpstr>2018-9 (Original)</vt:lpstr>
      <vt:lpstr>2019-20</vt:lpstr>
      <vt:lpstr>2020-1</vt:lpstr>
      <vt:lpstr>2020-1(Original)</vt:lpstr>
      <vt:lpstr>2021-2</vt:lpstr>
      <vt:lpstr>2021-2 (Original)</vt:lpstr>
      <vt:lpstr>2022-3</vt:lpstr>
      <vt:lpstr>2022-3 (Original)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2023-04-17T15:30:05Z</dcterms:modified>
</cp:coreProperties>
</file>